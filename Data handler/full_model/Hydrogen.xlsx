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udk-my.sharepoint.com/personal/tm84dt_plan_aau_dk/Documents/Skrivebord/Archive/Peer-reviewed papers/EMPIRE_H2Imports/EMPIRE_H2Imports/Data handler/full_model/"/>
    </mc:Choice>
  </mc:AlternateContent>
  <xr:revisionPtr revIDLastSave="27" documentId="13_ncr:1_{14CE15FE-5F8A-4238-9E39-F48DDC0CAC98}" xr6:coauthVersionLast="47" xr6:coauthVersionMax="47" xr10:uidLastSave="{329CC9B4-1B00-49C1-8A6F-39872BBA679C}"/>
  <bookViews>
    <workbookView xWindow="57480" yWindow="2595" windowWidth="38640" windowHeight="21120" firstSheet="24" activeTab="25" xr2:uid="{00000000-000D-0000-FFFF-FFFF00000000}"/>
  </bookViews>
  <sheets>
    <sheet name="Generators" sheetId="1" r:id="rId1"/>
    <sheet name="ProductionNodes" sheetId="2" r:id="rId2"/>
    <sheet name="ReformerLocations" sheetId="3" r:id="rId3"/>
    <sheet name="ReformerPlants" sheetId="4" r:id="rId4"/>
    <sheet name="ReformerCapitalCost" sheetId="5" r:id="rId5"/>
    <sheet name="ReformerFixedOMCost" sheetId="6" r:id="rId6"/>
    <sheet name="ReformerVariableOMCost" sheetId="7" r:id="rId7"/>
    <sheet name="ReformerEfficiency" sheetId="8" r:id="rId8"/>
    <sheet name="ReformerElectricityUse" sheetId="9" r:id="rId9"/>
    <sheet name="ReformerLifetime" sheetId="10" r:id="rId10"/>
    <sheet name="ReformerEmissionFactor" sheetId="11" r:id="rId11"/>
    <sheet name="ReformerCO2CaptureFactor" sheetId="12" r:id="rId12"/>
    <sheet name="ElectrolyzerPlantCapitalCost" sheetId="13" r:id="rId13"/>
    <sheet name="ElectrolyzerFixedOMCost" sheetId="14" r:id="rId14"/>
    <sheet name="ElectrolyzerStackCapitalCost" sheetId="15" r:id="rId15"/>
    <sheet name="ElectrolyzerLifetime" sheetId="16" r:id="rId16"/>
    <sheet name="ElectrolyzerPowerUse" sheetId="17" r:id="rId17"/>
    <sheet name="PipelineCapitalCost" sheetId="18" r:id="rId18"/>
    <sheet name="PipelineOMCostPerKM" sheetId="19" r:id="rId19"/>
    <sheet name="PipelineCompressorPowerUsage" sheetId="20" r:id="rId20"/>
    <sheet name="H2Storages" sheetId="37" r:id="rId21"/>
    <sheet name="StorageCapitalCost" sheetId="21" r:id="rId22"/>
    <sheet name="StorageFixedOMCost" sheetId="22" r:id="rId23"/>
    <sheet name="StorageMaxCapacity" sheetId="23" r:id="rId24"/>
    <sheet name="StorageLifetime" sheetId="38" r:id="rId25"/>
    <sheet name="H2Terminals" sheetId="31" r:id="rId26"/>
    <sheet name="H2TerminalNodes" sheetId="36" r:id="rId27"/>
    <sheet name="H2TerminalsOfNode" sheetId="32" r:id="rId28"/>
    <sheet name="H2TerminalPrice" sheetId="26" r:id="rId29"/>
    <sheet name="H2TerminalCapitalCost" sheetId="29" r:id="rId30"/>
    <sheet name="H2TerminalFixedOM" sheetId="30" r:id="rId31"/>
    <sheet name="H2TerminalLifetime" sheetId="35" r:id="rId32"/>
    <sheet name="H2TerminalMaxCapacity" sheetId="27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0" l="1"/>
  <c r="C16" i="30"/>
  <c r="C15" i="30"/>
  <c r="C14" i="30"/>
  <c r="C13" i="30"/>
  <c r="C12" i="30"/>
  <c r="C11" i="30"/>
  <c r="C25" i="30" l="1"/>
  <c r="C32" i="30" s="1"/>
  <c r="C39" i="30" s="1"/>
  <c r="C46" i="30" s="1"/>
  <c r="C53" i="30" s="1"/>
  <c r="C60" i="30" s="1"/>
  <c r="C67" i="30" s="1"/>
  <c r="C74" i="30" s="1"/>
  <c r="C81" i="30" s="1"/>
  <c r="C88" i="30" s="1"/>
  <c r="C95" i="30" s="1"/>
  <c r="C102" i="30" s="1"/>
  <c r="C109" i="30" s="1"/>
  <c r="C116" i="30" s="1"/>
  <c r="C123" i="30" s="1"/>
  <c r="C18" i="30"/>
  <c r="C26" i="30"/>
  <c r="C33" i="30" s="1"/>
  <c r="C40" i="30" s="1"/>
  <c r="C47" i="30" s="1"/>
  <c r="C54" i="30" s="1"/>
  <c r="C61" i="30" s="1"/>
  <c r="C68" i="30" s="1"/>
  <c r="C75" i="30" s="1"/>
  <c r="C82" i="30" s="1"/>
  <c r="C89" i="30" s="1"/>
  <c r="C96" i="30" s="1"/>
  <c r="C103" i="30" s="1"/>
  <c r="C110" i="30" s="1"/>
  <c r="C117" i="30" s="1"/>
  <c r="C124" i="30" s="1"/>
  <c r="C19" i="30"/>
  <c r="C27" i="30"/>
  <c r="C34" i="30" s="1"/>
  <c r="C41" i="30" s="1"/>
  <c r="C48" i="30" s="1"/>
  <c r="C55" i="30" s="1"/>
  <c r="C62" i="30" s="1"/>
  <c r="C69" i="30" s="1"/>
  <c r="C76" i="30" s="1"/>
  <c r="C83" i="30" s="1"/>
  <c r="C90" i="30" s="1"/>
  <c r="C97" i="30" s="1"/>
  <c r="C104" i="30" s="1"/>
  <c r="C111" i="30" s="1"/>
  <c r="C118" i="30" s="1"/>
  <c r="C125" i="30" s="1"/>
  <c r="C20" i="30"/>
  <c r="C28" i="30"/>
  <c r="C35" i="30" s="1"/>
  <c r="C42" i="30" s="1"/>
  <c r="C49" i="30" s="1"/>
  <c r="C56" i="30" s="1"/>
  <c r="C63" i="30" s="1"/>
  <c r="C70" i="30" s="1"/>
  <c r="C77" i="30" s="1"/>
  <c r="C84" i="30" s="1"/>
  <c r="C91" i="30" s="1"/>
  <c r="C98" i="30" s="1"/>
  <c r="C105" i="30" s="1"/>
  <c r="C112" i="30" s="1"/>
  <c r="C119" i="30" s="1"/>
  <c r="C126" i="30" s="1"/>
  <c r="C21" i="30"/>
  <c r="C29" i="30"/>
  <c r="C36" i="30" s="1"/>
  <c r="C43" i="30" s="1"/>
  <c r="C50" i="30" s="1"/>
  <c r="C57" i="30" s="1"/>
  <c r="C64" i="30" s="1"/>
  <c r="C71" i="30" s="1"/>
  <c r="C78" i="30" s="1"/>
  <c r="C85" i="30" s="1"/>
  <c r="C92" i="30" s="1"/>
  <c r="C99" i="30" s="1"/>
  <c r="C106" i="30" s="1"/>
  <c r="C113" i="30" s="1"/>
  <c r="C120" i="30" s="1"/>
  <c r="C127" i="30" s="1"/>
  <c r="C22" i="30"/>
  <c r="C30" i="30"/>
  <c r="C37" i="30" s="1"/>
  <c r="C44" i="30" s="1"/>
  <c r="C51" i="30" s="1"/>
  <c r="C58" i="30" s="1"/>
  <c r="C65" i="30" s="1"/>
  <c r="C72" i="30" s="1"/>
  <c r="C79" i="30" s="1"/>
  <c r="C86" i="30" s="1"/>
  <c r="C93" i="30" s="1"/>
  <c r="C100" i="30" s="1"/>
  <c r="C107" i="30" s="1"/>
  <c r="C114" i="30" s="1"/>
  <c r="C121" i="30" s="1"/>
  <c r="C128" i="30" s="1"/>
  <c r="C23" i="30"/>
  <c r="C31" i="30"/>
  <c r="C38" i="30" s="1"/>
  <c r="C45" i="30" s="1"/>
  <c r="C52" i="30" s="1"/>
  <c r="C59" i="30" s="1"/>
  <c r="C66" i="30" s="1"/>
  <c r="C73" i="30" s="1"/>
  <c r="C80" i="30" s="1"/>
  <c r="C87" i="30" s="1"/>
  <c r="C94" i="30" s="1"/>
  <c r="C101" i="30" s="1"/>
  <c r="C108" i="30" s="1"/>
  <c r="C115" i="30" s="1"/>
  <c r="C122" i="30" s="1"/>
  <c r="C129" i="30" s="1"/>
  <c r="C24" i="30"/>
  <c r="C12" i="29"/>
  <c r="C13" i="29"/>
  <c r="C14" i="29"/>
  <c r="C15" i="29"/>
  <c r="C16" i="29"/>
  <c r="C17" i="29"/>
  <c r="C11" i="29"/>
  <c r="C33" i="26"/>
  <c r="C40" i="26" s="1"/>
  <c r="C47" i="26" s="1"/>
  <c r="C54" i="26" s="1"/>
  <c r="C61" i="26" s="1"/>
  <c r="C68" i="26" s="1"/>
  <c r="C75" i="26" s="1"/>
  <c r="C82" i="26" s="1"/>
  <c r="C89" i="26" s="1"/>
  <c r="C96" i="26" s="1"/>
  <c r="C103" i="26" s="1"/>
  <c r="C110" i="26" s="1"/>
  <c r="C117" i="26" s="1"/>
  <c r="C124" i="26" s="1"/>
  <c r="C34" i="26"/>
  <c r="C41" i="26" s="1"/>
  <c r="C48" i="26" s="1"/>
  <c r="C55" i="26" s="1"/>
  <c r="C62" i="26" s="1"/>
  <c r="C69" i="26" s="1"/>
  <c r="C76" i="26" s="1"/>
  <c r="C83" i="26" s="1"/>
  <c r="C90" i="26" s="1"/>
  <c r="C97" i="26" s="1"/>
  <c r="C104" i="26" s="1"/>
  <c r="C111" i="26" s="1"/>
  <c r="C118" i="26" s="1"/>
  <c r="C125" i="26" s="1"/>
  <c r="C35" i="26"/>
  <c r="C42" i="26" s="1"/>
  <c r="C49" i="26" s="1"/>
  <c r="C56" i="26" s="1"/>
  <c r="C63" i="26" s="1"/>
  <c r="C70" i="26" s="1"/>
  <c r="C77" i="26" s="1"/>
  <c r="C84" i="26" s="1"/>
  <c r="C91" i="26" s="1"/>
  <c r="C98" i="26" s="1"/>
  <c r="C105" i="26" s="1"/>
  <c r="C112" i="26" s="1"/>
  <c r="C119" i="26" s="1"/>
  <c r="C126" i="26" s="1"/>
  <c r="C36" i="26"/>
  <c r="C43" i="26" s="1"/>
  <c r="C50" i="26" s="1"/>
  <c r="C57" i="26" s="1"/>
  <c r="C64" i="26" s="1"/>
  <c r="C71" i="26" s="1"/>
  <c r="C78" i="26" s="1"/>
  <c r="C85" i="26" s="1"/>
  <c r="C92" i="26" s="1"/>
  <c r="C99" i="26" s="1"/>
  <c r="C106" i="26" s="1"/>
  <c r="C113" i="26" s="1"/>
  <c r="C120" i="26" s="1"/>
  <c r="C127" i="26" s="1"/>
  <c r="C37" i="26"/>
  <c r="C44" i="26" s="1"/>
  <c r="C51" i="26" s="1"/>
  <c r="C58" i="26" s="1"/>
  <c r="C65" i="26" s="1"/>
  <c r="C72" i="26" s="1"/>
  <c r="C79" i="26" s="1"/>
  <c r="C86" i="26" s="1"/>
  <c r="C93" i="26" s="1"/>
  <c r="C100" i="26" s="1"/>
  <c r="C107" i="26" s="1"/>
  <c r="C114" i="26" s="1"/>
  <c r="C121" i="26" s="1"/>
  <c r="C128" i="26" s="1"/>
  <c r="C38" i="26"/>
  <c r="C45" i="26" s="1"/>
  <c r="C52" i="26" s="1"/>
  <c r="C59" i="26" s="1"/>
  <c r="C66" i="26" s="1"/>
  <c r="C73" i="26" s="1"/>
  <c r="C80" i="26" s="1"/>
  <c r="C87" i="26" s="1"/>
  <c r="C94" i="26" s="1"/>
  <c r="C101" i="26" s="1"/>
  <c r="C108" i="26" s="1"/>
  <c r="C115" i="26" s="1"/>
  <c r="C122" i="26" s="1"/>
  <c r="C129" i="26" s="1"/>
  <c r="C32" i="26"/>
  <c r="C39" i="26" s="1"/>
  <c r="C46" i="26" s="1"/>
  <c r="C53" i="26" s="1"/>
  <c r="C60" i="26" s="1"/>
  <c r="C67" i="26" s="1"/>
  <c r="C74" i="26" s="1"/>
  <c r="C81" i="26" s="1"/>
  <c r="C88" i="26" s="1"/>
  <c r="C95" i="26" s="1"/>
  <c r="C102" i="26" s="1"/>
  <c r="C109" i="26" s="1"/>
  <c r="C116" i="26" s="1"/>
  <c r="C123" i="26" s="1"/>
  <c r="C31" i="29" l="1"/>
  <c r="C38" i="29" s="1"/>
  <c r="C45" i="29" s="1"/>
  <c r="C52" i="29" s="1"/>
  <c r="C59" i="29" s="1"/>
  <c r="C66" i="29" s="1"/>
  <c r="C73" i="29" s="1"/>
  <c r="C80" i="29" s="1"/>
  <c r="C87" i="29" s="1"/>
  <c r="C94" i="29" s="1"/>
  <c r="C101" i="29" s="1"/>
  <c r="C108" i="29" s="1"/>
  <c r="C115" i="29" s="1"/>
  <c r="C122" i="29" s="1"/>
  <c r="C129" i="29" s="1"/>
  <c r="C24" i="29"/>
  <c r="C30" i="29"/>
  <c r="C37" i="29" s="1"/>
  <c r="C44" i="29" s="1"/>
  <c r="C51" i="29" s="1"/>
  <c r="C58" i="29" s="1"/>
  <c r="C65" i="29" s="1"/>
  <c r="C72" i="29" s="1"/>
  <c r="C79" i="29" s="1"/>
  <c r="C86" i="29" s="1"/>
  <c r="C93" i="29" s="1"/>
  <c r="C100" i="29" s="1"/>
  <c r="C107" i="29" s="1"/>
  <c r="C114" i="29" s="1"/>
  <c r="C121" i="29" s="1"/>
  <c r="C128" i="29" s="1"/>
  <c r="C23" i="29"/>
  <c r="C29" i="29"/>
  <c r="C36" i="29" s="1"/>
  <c r="C43" i="29" s="1"/>
  <c r="C50" i="29" s="1"/>
  <c r="C57" i="29" s="1"/>
  <c r="C64" i="29" s="1"/>
  <c r="C71" i="29" s="1"/>
  <c r="C78" i="29" s="1"/>
  <c r="C85" i="29" s="1"/>
  <c r="C92" i="29" s="1"/>
  <c r="C99" i="29" s="1"/>
  <c r="C106" i="29" s="1"/>
  <c r="C113" i="29" s="1"/>
  <c r="C120" i="29" s="1"/>
  <c r="C127" i="29" s="1"/>
  <c r="C22" i="29"/>
  <c r="C28" i="29"/>
  <c r="C35" i="29" s="1"/>
  <c r="C42" i="29" s="1"/>
  <c r="C49" i="29" s="1"/>
  <c r="C56" i="29" s="1"/>
  <c r="C63" i="29" s="1"/>
  <c r="C70" i="29" s="1"/>
  <c r="C77" i="29" s="1"/>
  <c r="C84" i="29" s="1"/>
  <c r="C91" i="29" s="1"/>
  <c r="C98" i="29" s="1"/>
  <c r="C105" i="29" s="1"/>
  <c r="C112" i="29" s="1"/>
  <c r="C119" i="29" s="1"/>
  <c r="C126" i="29" s="1"/>
  <c r="C21" i="29"/>
  <c r="C27" i="29"/>
  <c r="C34" i="29" s="1"/>
  <c r="C41" i="29" s="1"/>
  <c r="C48" i="29" s="1"/>
  <c r="C55" i="29" s="1"/>
  <c r="C62" i="29" s="1"/>
  <c r="C69" i="29" s="1"/>
  <c r="C76" i="29" s="1"/>
  <c r="C83" i="29" s="1"/>
  <c r="C90" i="29" s="1"/>
  <c r="C97" i="29" s="1"/>
  <c r="C104" i="29" s="1"/>
  <c r="C111" i="29" s="1"/>
  <c r="C118" i="29" s="1"/>
  <c r="C125" i="29" s="1"/>
  <c r="C20" i="29"/>
  <c r="C26" i="29"/>
  <c r="C33" i="29" s="1"/>
  <c r="C40" i="29" s="1"/>
  <c r="C47" i="29" s="1"/>
  <c r="C54" i="29" s="1"/>
  <c r="C61" i="29" s="1"/>
  <c r="C68" i="29" s="1"/>
  <c r="C75" i="29" s="1"/>
  <c r="C82" i="29" s="1"/>
  <c r="C89" i="29" s="1"/>
  <c r="C96" i="29" s="1"/>
  <c r="C103" i="29" s="1"/>
  <c r="C110" i="29" s="1"/>
  <c r="C117" i="29" s="1"/>
  <c r="C124" i="29" s="1"/>
  <c r="C19" i="29"/>
  <c r="C25" i="29"/>
  <c r="C32" i="29" s="1"/>
  <c r="C39" i="29" s="1"/>
  <c r="C46" i="29" s="1"/>
  <c r="C53" i="29" s="1"/>
  <c r="C60" i="29" s="1"/>
  <c r="C67" i="29" s="1"/>
  <c r="C74" i="29" s="1"/>
  <c r="C81" i="29" s="1"/>
  <c r="C88" i="29" s="1"/>
  <c r="C95" i="29" s="1"/>
  <c r="C102" i="29" s="1"/>
  <c r="C109" i="29" s="1"/>
  <c r="C116" i="29" s="1"/>
  <c r="C123" i="29" s="1"/>
  <c r="C18" i="29"/>
  <c r="C24" i="11" l="1"/>
  <c r="C18" i="11"/>
  <c r="C17" i="11"/>
  <c r="C16" i="11"/>
  <c r="C23" i="11" s="1"/>
  <c r="C15" i="11"/>
  <c r="C22" i="11" s="1"/>
  <c r="C14" i="11"/>
  <c r="C21" i="11" s="1"/>
  <c r="C13" i="11"/>
  <c r="C20" i="11" s="1"/>
  <c r="C12" i="11"/>
  <c r="C19" i="11" s="1"/>
  <c r="C11" i="11"/>
  <c r="B10" i="13" l="1"/>
</calcChain>
</file>

<file path=xl/sharedStrings.xml><?xml version="1.0" encoding="utf-8"?>
<sst xmlns="http://schemas.openxmlformats.org/spreadsheetml/2006/main" count="1549" uniqueCount="120">
  <si>
    <t>Generators</t>
  </si>
  <si>
    <t>Hydrogen OCGT</t>
  </si>
  <si>
    <t>Hydrogen CCGT</t>
  </si>
  <si>
    <t>Hydrogen fuel cell</t>
  </si>
  <si>
    <t>ProductionNodes</t>
  </si>
  <si>
    <t>Austria</t>
  </si>
  <si>
    <t>Bosnia H</t>
  </si>
  <si>
    <t>Belgium</t>
  </si>
  <si>
    <t>Bulgaria</t>
  </si>
  <si>
    <t>Switzerland</t>
  </si>
  <si>
    <t>Czech R</t>
  </si>
  <si>
    <t>Germany</t>
  </si>
  <si>
    <t>Denmark</t>
  </si>
  <si>
    <t>Estonia</t>
  </si>
  <si>
    <t>Spain</t>
  </si>
  <si>
    <t>Finland</t>
  </si>
  <si>
    <t>France</t>
  </si>
  <si>
    <t>Great Brit.</t>
  </si>
  <si>
    <t>Greece</t>
  </si>
  <si>
    <t>Croatia</t>
  </si>
  <si>
    <t>Hungary</t>
  </si>
  <si>
    <t>Ireland</t>
  </si>
  <si>
    <t>Italy</t>
  </si>
  <si>
    <t>Lithuania</t>
  </si>
  <si>
    <t>Luxemb.</t>
  </si>
  <si>
    <t>Latvia</t>
  </si>
  <si>
    <t>Macedonia</t>
  </si>
  <si>
    <t>Netherlands</t>
  </si>
  <si>
    <t>NO1</t>
  </si>
  <si>
    <t>NO2</t>
  </si>
  <si>
    <t>NO3</t>
  </si>
  <si>
    <t>NO4</t>
  </si>
  <si>
    <t>NO5</t>
  </si>
  <si>
    <t>Poland</t>
  </si>
  <si>
    <t>Portugal</t>
  </si>
  <si>
    <t>Romania</t>
  </si>
  <si>
    <t>Serbia</t>
  </si>
  <si>
    <t>Sweden</t>
  </si>
  <si>
    <t>Slovenia</t>
  </si>
  <si>
    <t>Slovakia</t>
  </si>
  <si>
    <t>ReformerLocations</t>
  </si>
  <si>
    <t>ReformerPlants</t>
  </si>
  <si>
    <t>SMR</t>
  </si>
  <si>
    <t>SMR_CCS</t>
  </si>
  <si>
    <t>GHR_ATR_CCS</t>
  </si>
  <si>
    <t>Source:  Table 21 in Hydrogen4EU report</t>
  </si>
  <si>
    <t>Description: Capital cost of reformer plants</t>
  </si>
  <si>
    <t>Plant type</t>
  </si>
  <si>
    <t>Period</t>
  </si>
  <si>
    <t>Capital cost [EUR/MW H2]</t>
  </si>
  <si>
    <t>Description: Fixed O&amp;M costs for reformer plants</t>
  </si>
  <si>
    <t>Fixed O&amp;M cost [EUR/MW H2]</t>
  </si>
  <si>
    <t>Description: Variable O&amp;M costs for reformer plants</t>
  </si>
  <si>
    <t>Variable O&amp;M cost [EUR/ton H2]</t>
  </si>
  <si>
    <t>Source:  Table 22 in Hydrogen4EU Report</t>
  </si>
  <si>
    <t>Description: LHV Efficiency of natural gas use for reformer plants</t>
  </si>
  <si>
    <t>LHV Efficiency</t>
  </si>
  <si>
    <t>Description: Electricity use per kg H2</t>
  </si>
  <si>
    <t>Electricity demand [MWh / ton]</t>
  </si>
  <si>
    <t>Description: Lifetime of reformer plants, before everything needs to be replaced (years) (default 25)</t>
  </si>
  <si>
    <t>elyzerLifetime</t>
  </si>
  <si>
    <t>SMRLifetime</t>
  </si>
  <si>
    <t>Source:  Efficiency numbers from Table 22 in Hydrogen4EU report + own calculations. 95% capture rate assumed based on conversation with author</t>
  </si>
  <si>
    <t>Description: Emission of CO2 (kg) per kg H2 produced (kg CO2/kg H2)</t>
  </si>
  <si>
    <t>Ton CO2 emissions per ton H2</t>
  </si>
  <si>
    <t>Description: Emission of CO2 (ton) captured per ton H2 produced (ton CO2/ton H2)</t>
  </si>
  <si>
    <t>Ton CO2 emissions captured per ton H2</t>
  </si>
  <si>
    <t>elyzerCapCost (€/MWe)</t>
  </si>
  <si>
    <t>Desciption: Fixed O&amp;M (4% of plant capital cost) (€/MWe) (default 999999)</t>
  </si>
  <si>
    <t>eLyzerOMCost</t>
  </si>
  <si>
    <t>Source: Assumed covered by fixed O&amp;M</t>
  </si>
  <si>
    <t>Description: Cost of replacing stack in PEM electrolyzer (€/MWe) (default 999999)</t>
  </si>
  <si>
    <t>elyzerStackCapCost</t>
  </si>
  <si>
    <t>Description: Lifetime of electrolyzer plant, before everything needs to be replaced (years) (default 20)</t>
  </si>
  <si>
    <t>Description: Electricity consumption (MWh) for producing 1 kg of H2 (Figure 28 in Source)</t>
  </si>
  <si>
    <t>El consumption (MWh/ton)</t>
  </si>
  <si>
    <t>Source: Extending the European Hydrogen Backbone, 2021; Appendix A, Table 3</t>
  </si>
  <si>
    <t>Description: Capital cost per km for hydrogen pipelines (€/(ton*km)) (default 999999)</t>
  </si>
  <si>
    <t>Capital cost</t>
  </si>
  <si>
    <t>Description: O&amp;M cost hydrogen pipelines (€/(ton*km)) (default 999999)</t>
  </si>
  <si>
    <t>O&amp;M Cost</t>
  </si>
  <si>
    <t>Source: Analysing future demand, supply, and transport of hydrogen, 2021 (Table 35)</t>
  </si>
  <si>
    <t>Description: Electricity usage in compressors for transporting 1 ton of H2 for 1 km (MWe/(ton*km)) (default 999999)</t>
  </si>
  <si>
    <t>Electricity usage</t>
  </si>
  <si>
    <t>Source: Table 5 in Picturing the value of underground gas storage to the European hydrogen system by Gas Infrastructure Europe (GIE)</t>
  </si>
  <si>
    <t>Capital cost (EUR/ton)</t>
  </si>
  <si>
    <t>Source: 5% of capital cost</t>
  </si>
  <si>
    <t>Description: Fixed O&amp;M costs for salt cavern H2 storage (EUR/ton) (default 999999)</t>
  </si>
  <si>
    <t>O&amp;M cost per kg H2</t>
  </si>
  <si>
    <t>Source: Table 3 in Picturing the value of underground gas storage to the European hydrogen system by Gas Infrastructure Europe (GIE)</t>
  </si>
  <si>
    <t>Description: Maximum H2 storage capacity in each node (ton) (default 0)</t>
  </si>
  <si>
    <t>Node</t>
  </si>
  <si>
    <t>Max capacity [ton]</t>
  </si>
  <si>
    <t>Desciption: Capital cost of AEC/PEM electrolyzer incl. discounted  stack replacement (€/MWe) (default 999999)</t>
  </si>
  <si>
    <t>SOURCE: Danish Energy Agency (2023), Technology catalogure for renewable fuels (Assumed 70% AEC/ 30% PEM) (https://ens.dk/sites/ens.dk/files/Analyser/technology_data_for_renewable_fuels.pdf)</t>
  </si>
  <si>
    <t>EnergyhubEU</t>
  </si>
  <si>
    <t>Source: Assumed 2% of CAPEX (2% number from European Hydrogen Backbone, 2021)</t>
  </si>
  <si>
    <t>PipelineH2Import</t>
  </si>
  <si>
    <t>Capacity (ton/hr)</t>
  </si>
  <si>
    <t xml:space="preserve">Source: </t>
  </si>
  <si>
    <t>CapitalCost (EUR/ton/h)</t>
  </si>
  <si>
    <t>LH2Import</t>
  </si>
  <si>
    <t>H2Terminals</t>
  </si>
  <si>
    <t>Source: -</t>
  </si>
  <si>
    <t>Description: Assignment of H2 terminal types to nodes</t>
  </si>
  <si>
    <t>Description: Cost of H2 terminal (EUR/kg) default: 999999</t>
  </si>
  <si>
    <t>Description: Capacity limit of H2 terminal (ton/hr) default: 0</t>
  </si>
  <si>
    <t>Source:</t>
  </si>
  <si>
    <t>FixedOM (EUR/ton/h)</t>
  </si>
  <si>
    <t>Description: Lifetime of H2 terminal (years) default: 0</t>
  </si>
  <si>
    <t>H2TerminalNodes</t>
  </si>
  <si>
    <t>importLifetime</t>
  </si>
  <si>
    <t>Cost (EUR/kg)</t>
  </si>
  <si>
    <t>H2Storage</t>
  </si>
  <si>
    <t>SaltCavern</t>
  </si>
  <si>
    <t>SteelTank</t>
  </si>
  <si>
    <t>H2Storages</t>
  </si>
  <si>
    <t>Description: Lifetime for hydrogen storage (default 0)</t>
  </si>
  <si>
    <t>Lifetime</t>
  </si>
  <si>
    <t>Description: Capital cost of developing the hydrogen storage (assumed to be salt cavern) (EUR/ton) (default 999999999)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</si>
</sst>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_-* #,##0_-;\-* #,##0_-;_-* &quot;-&quot;??_-;_-@_-"/>
    <numFmt numFmtId="167" formatCode="0.0%"/>
    <numFmt numFmtId="169" formatCode="_-* #,##0.000000_-;\-* #,##0.000000_-;_-* &quot;-&quot;??_-;_-@_-"/>
    <numFmt numFmtId="170" formatCode="0.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</cellStyleXfs>
  <cellXfs count="17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1" applyNumberFormat="1" applyFont="1"/>
    <xf numFmtId="9" fontId="0" fillId="0" borderId="0" xfId="2" applyFont="1"/>
    <xf numFmtId="167" fontId="0" fillId="0" borderId="0" xfId="2" applyNumberFormat="1" applyFont="1"/>
    <xf numFmtId="43" fontId="0" fillId="0" borderId="0" xfId="1" applyFont="1"/>
    <xf numFmtId="43" fontId="0" fillId="0" borderId="0" xfId="0" applyNumberFormat="1"/>
    <xf numFmtId="0" fontId="0" fillId="0" borderId="0" xfId="0" applyAlignment="1">
      <alignment vertical="center" wrapText="1"/>
    </xf>
    <xf numFmtId="165" fontId="0" fillId="0" borderId="0" xfId="0" applyNumberFormat="1"/>
    <xf numFmtId="0" fontId="3" fillId="0" borderId="0" xfId="3"/>
    <xf numFmtId="169" fontId="0" fillId="0" borderId="0" xfId="1" applyNumberFormat="1" applyFont="1"/>
    <xf numFmtId="169" fontId="0" fillId="0" borderId="0" xfId="0" applyNumberFormat="1"/>
    <xf numFmtId="170" fontId="0" fillId="0" borderId="0" xfId="0" applyNumberFormat="1"/>
    <xf numFmtId="170" fontId="0" fillId="0" borderId="0" xfId="1" applyNumberFormat="1" applyFont="1"/>
    <xf numFmtId="165" fontId="0" fillId="0" borderId="0" xfId="1" applyNumberFormat="1" applyFont="1" applyAlignment="1"/>
  </cellXfs>
  <cellStyles count="4">
    <cellStyle name="Comma" xfId="1" builtinId="3"/>
    <cellStyle name="Normal" xfId="0" builtinId="0"/>
    <cellStyle name="Normal 2" xfId="3" xr:uid="{AB8AC1BA-2603-4052-9389-A6A8576C8B6B}"/>
    <cellStyle name="Percent" xfId="2" builtinId="5"/>
  </cellStyles>
  <dxfs count="4">
    <dxf>
      <numFmt numFmtId="1" formatCode="0"/>
    </dxf>
    <dxf>
      <numFmt numFmtId="1" formatCode="0"/>
    </dxf>
    <dxf>
      <numFmt numFmtId="1" formatCode="0"/>
    </dxf>
    <dxf>
      <numFmt numFmtId="165" formatCode="_-* #,##0_-;\-* #,##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4BDA57-ABEC-470C-A370-8A38EBADC983}" name="Table24" displayName="Table24" ref="A3:D129" totalsRowShown="0">
  <autoFilter ref="A3:D129" xr:uid="{A34BDA57-ABEC-470C-A370-8A38EBADC983}"/>
  <sortState xmlns:xlrd2="http://schemas.microsoft.com/office/spreadsheetml/2017/richdata2" ref="B4:D276">
    <sortCondition ref="B3:B276"/>
  </sortState>
  <tableColumns count="4">
    <tableColumn id="4" xr3:uid="{639A945E-F4EB-4D98-800D-02A84A81C23C}" name="H2TerminalNodes"/>
    <tableColumn id="2" xr3:uid="{F228B9D3-07CA-4C19-9C2D-619916C0F947}" name="H2Terminals"/>
    <tableColumn id="3" xr3:uid="{4F4E06BE-465C-4F87-A450-D49D0FD79E6C}" name="Period"/>
    <tableColumn id="5" xr3:uid="{95F1E1B2-D6AD-4330-B43B-EFD8EE770DFC}" name="CapitalCost (EUR/ton/h)" dataDxfId="3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F25025-391F-41DB-B645-04C06D30DE69}" name="Table245" displayName="Table245" ref="A3:D129" totalsRowShown="0">
  <autoFilter ref="A3:D129" xr:uid="{A34BDA57-ABEC-470C-A370-8A38EBADC983}"/>
  <sortState xmlns:xlrd2="http://schemas.microsoft.com/office/spreadsheetml/2017/richdata2" ref="B4:D276">
    <sortCondition ref="B3:B276"/>
  </sortState>
  <tableColumns count="4">
    <tableColumn id="1" xr3:uid="{7755DB43-E8D0-4D6C-B665-739713090520}" name="H2TerminalNodes"/>
    <tableColumn id="2" xr3:uid="{37965887-2459-4616-A636-CB2E033473C5}" name="H2Terminals"/>
    <tableColumn id="3" xr3:uid="{430DCCC0-A377-4520-B955-E35DF0A3E21F}" name="Period"/>
    <tableColumn id="5" xr3:uid="{D5CAA81F-CE7F-4F3A-AB26-17477B91F5D1}" name="FixedOM (EUR/ton/h)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04618C-0DC4-4527-99C9-BE9ECD013933}" name="Table16" displayName="Table16" ref="A3:B336" totalsRowShown="0">
  <autoFilter ref="A3:B336" xr:uid="{D61BF8CE-99D7-4929-BC4D-3237F7159315}"/>
  <sortState xmlns:xlrd2="http://schemas.microsoft.com/office/spreadsheetml/2017/richdata2" ref="A4:B296">
    <sortCondition ref="A3:A296"/>
  </sortState>
  <tableColumns count="2">
    <tableColumn id="2" xr3:uid="{07E1D33F-B525-46E0-BE18-A5B52226DC2A}" name="H2Terminals"/>
    <tableColumn id="4" xr3:uid="{20000EB3-449B-409B-A93C-21849925FE50}" name="importLifetime" dataDxfId="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1BF8CE-99D7-4929-BC4D-3237F7159315}" name="Table1" displayName="Table1" ref="A3:D341" totalsRowShown="0">
  <autoFilter ref="A3:D341" xr:uid="{D61BF8CE-99D7-4929-BC4D-3237F7159315}"/>
  <sortState xmlns:xlrd2="http://schemas.microsoft.com/office/spreadsheetml/2017/richdata2" ref="A4:D341">
    <sortCondition descending="1" ref="B3:B341"/>
  </sortState>
  <tableColumns count="4">
    <tableColumn id="1" xr3:uid="{0A919E0D-9D64-4FF4-9FB4-D6CBCC568489}" name="H2TerminalNodes"/>
    <tableColumn id="2" xr3:uid="{1B08B07F-EF99-488E-BEAB-A6D9D1F896FE}" name="H2Terminals"/>
    <tableColumn id="3" xr3:uid="{2B2FE99D-D7F0-422B-A123-940B0259F1E5}" name="Period"/>
    <tableColumn id="4" xr3:uid="{4A0008B9-C6BC-468A-8929-450B8F6A7472}" name="Capacity (ton/hr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C9" sqref="C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workbookViewId="0">
      <selection activeCell="C9" sqref="C9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8</v>
      </c>
    </row>
    <row r="6" spans="1:1" x14ac:dyDescent="0.3">
      <c r="A6" t="s">
        <v>9</v>
      </c>
    </row>
    <row r="7" spans="1:1" x14ac:dyDescent="0.3">
      <c r="A7" t="s">
        <v>10</v>
      </c>
    </row>
    <row r="8" spans="1:1" x14ac:dyDescent="0.3">
      <c r="A8" t="s">
        <v>11</v>
      </c>
    </row>
    <row r="9" spans="1:1" x14ac:dyDescent="0.3">
      <c r="A9" t="s">
        <v>12</v>
      </c>
    </row>
    <row r="10" spans="1:1" x14ac:dyDescent="0.3">
      <c r="A10" t="s">
        <v>13</v>
      </c>
    </row>
    <row r="11" spans="1:1" x14ac:dyDescent="0.3">
      <c r="A11" t="s">
        <v>14</v>
      </c>
    </row>
    <row r="12" spans="1:1" x14ac:dyDescent="0.3">
      <c r="A12" t="s">
        <v>15</v>
      </c>
    </row>
    <row r="13" spans="1:1" x14ac:dyDescent="0.3">
      <c r="A13" t="s">
        <v>16</v>
      </c>
    </row>
    <row r="14" spans="1:1" x14ac:dyDescent="0.3">
      <c r="A14" t="s">
        <v>17</v>
      </c>
    </row>
    <row r="15" spans="1:1" x14ac:dyDescent="0.3">
      <c r="A15" t="s">
        <v>18</v>
      </c>
    </row>
    <row r="16" spans="1:1" x14ac:dyDescent="0.3">
      <c r="A16" t="s">
        <v>19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22</v>
      </c>
    </row>
    <row r="20" spans="1:1" x14ac:dyDescent="0.3">
      <c r="A20" t="s">
        <v>23</v>
      </c>
    </row>
    <row r="21" spans="1:1" x14ac:dyDescent="0.3">
      <c r="A21" t="s">
        <v>24</v>
      </c>
    </row>
    <row r="22" spans="1:1" x14ac:dyDescent="0.3">
      <c r="A22" t="s">
        <v>25</v>
      </c>
    </row>
    <row r="23" spans="1:1" x14ac:dyDescent="0.3">
      <c r="A23" t="s">
        <v>26</v>
      </c>
    </row>
    <row r="24" spans="1:1" x14ac:dyDescent="0.3">
      <c r="A24" t="s">
        <v>27</v>
      </c>
    </row>
    <row r="25" spans="1:1" x14ac:dyDescent="0.3">
      <c r="A25" t="s">
        <v>28</v>
      </c>
    </row>
    <row r="26" spans="1:1" x14ac:dyDescent="0.3">
      <c r="A26" t="s">
        <v>29</v>
      </c>
    </row>
    <row r="27" spans="1:1" x14ac:dyDescent="0.3">
      <c r="A27" t="s">
        <v>30</v>
      </c>
    </row>
    <row r="28" spans="1:1" x14ac:dyDescent="0.3">
      <c r="A28" t="s">
        <v>31</v>
      </c>
    </row>
    <row r="29" spans="1:1" x14ac:dyDescent="0.3">
      <c r="A29" t="s">
        <v>32</v>
      </c>
    </row>
    <row r="30" spans="1:1" x14ac:dyDescent="0.3">
      <c r="A30" t="s">
        <v>33</v>
      </c>
    </row>
    <row r="31" spans="1:1" x14ac:dyDescent="0.3">
      <c r="A31" t="s">
        <v>34</v>
      </c>
    </row>
    <row r="32" spans="1:1" x14ac:dyDescent="0.3">
      <c r="A32" t="s">
        <v>35</v>
      </c>
    </row>
    <row r="33" spans="1:1" x14ac:dyDescent="0.3">
      <c r="A33" t="s">
        <v>36</v>
      </c>
    </row>
    <row r="34" spans="1:1" x14ac:dyDescent="0.3">
      <c r="A34" t="s">
        <v>37</v>
      </c>
    </row>
    <row r="35" spans="1:1" x14ac:dyDescent="0.3">
      <c r="A35" t="s">
        <v>38</v>
      </c>
    </row>
    <row r="36" spans="1:1" x14ac:dyDescent="0.3">
      <c r="A36" t="s">
        <v>39</v>
      </c>
    </row>
    <row r="37" spans="1:1" x14ac:dyDescent="0.3">
      <c r="A37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"/>
  <sheetViews>
    <sheetView workbookViewId="0">
      <selection activeCell="C9" sqref="C9"/>
    </sheetView>
  </sheetViews>
  <sheetFormatPr defaultRowHeight="14.4" x14ac:dyDescent="0.3"/>
  <sheetData>
    <row r="1" spans="1:1" x14ac:dyDescent="0.3">
      <c r="A1" t="s">
        <v>40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8</v>
      </c>
    </row>
    <row r="6" spans="1:1" x14ac:dyDescent="0.3">
      <c r="A6" t="s">
        <v>9</v>
      </c>
    </row>
    <row r="7" spans="1:1" x14ac:dyDescent="0.3">
      <c r="A7" t="s">
        <v>10</v>
      </c>
    </row>
    <row r="8" spans="1:1" x14ac:dyDescent="0.3">
      <c r="A8" t="s">
        <v>11</v>
      </c>
    </row>
    <row r="9" spans="1:1" x14ac:dyDescent="0.3">
      <c r="A9" t="s">
        <v>12</v>
      </c>
    </row>
    <row r="10" spans="1:1" x14ac:dyDescent="0.3">
      <c r="A10" t="s">
        <v>13</v>
      </c>
    </row>
    <row r="11" spans="1:1" x14ac:dyDescent="0.3">
      <c r="A11" t="s">
        <v>14</v>
      </c>
    </row>
    <row r="12" spans="1:1" x14ac:dyDescent="0.3">
      <c r="A12" t="s">
        <v>15</v>
      </c>
    </row>
    <row r="13" spans="1:1" x14ac:dyDescent="0.3">
      <c r="A13" t="s">
        <v>16</v>
      </c>
    </row>
    <row r="14" spans="1:1" x14ac:dyDescent="0.3">
      <c r="A14" t="s">
        <v>17</v>
      </c>
    </row>
    <row r="15" spans="1:1" x14ac:dyDescent="0.3">
      <c r="A15" t="s">
        <v>18</v>
      </c>
    </row>
    <row r="16" spans="1:1" x14ac:dyDescent="0.3">
      <c r="A16" t="s">
        <v>19</v>
      </c>
    </row>
    <row r="17" spans="1:1" x14ac:dyDescent="0.3">
      <c r="A17" t="s">
        <v>20</v>
      </c>
    </row>
    <row r="18" spans="1:1" x14ac:dyDescent="0.3">
      <c r="A18" t="s">
        <v>21</v>
      </c>
    </row>
    <row r="19" spans="1:1" x14ac:dyDescent="0.3">
      <c r="A19" t="s">
        <v>22</v>
      </c>
    </row>
    <row r="20" spans="1:1" x14ac:dyDescent="0.3">
      <c r="A20" t="s">
        <v>23</v>
      </c>
    </row>
    <row r="21" spans="1:1" x14ac:dyDescent="0.3">
      <c r="A21" t="s">
        <v>24</v>
      </c>
    </row>
    <row r="22" spans="1:1" x14ac:dyDescent="0.3">
      <c r="A22" t="s">
        <v>25</v>
      </c>
    </row>
    <row r="23" spans="1:1" x14ac:dyDescent="0.3">
      <c r="A23" t="s">
        <v>26</v>
      </c>
    </row>
    <row r="24" spans="1:1" x14ac:dyDescent="0.3">
      <c r="A24" t="s">
        <v>27</v>
      </c>
    </row>
    <row r="25" spans="1:1" x14ac:dyDescent="0.3">
      <c r="A25" t="s">
        <v>28</v>
      </c>
    </row>
    <row r="26" spans="1:1" x14ac:dyDescent="0.3">
      <c r="A26" t="s">
        <v>29</v>
      </c>
    </row>
    <row r="27" spans="1:1" x14ac:dyDescent="0.3">
      <c r="A27" t="s">
        <v>30</v>
      </c>
    </row>
    <row r="28" spans="1:1" x14ac:dyDescent="0.3">
      <c r="A28" t="s">
        <v>31</v>
      </c>
    </row>
    <row r="29" spans="1:1" x14ac:dyDescent="0.3">
      <c r="A29" t="s">
        <v>32</v>
      </c>
    </row>
    <row r="30" spans="1:1" x14ac:dyDescent="0.3">
      <c r="A30" t="s">
        <v>33</v>
      </c>
    </row>
    <row r="31" spans="1:1" x14ac:dyDescent="0.3">
      <c r="A31" t="s">
        <v>34</v>
      </c>
    </row>
    <row r="32" spans="1:1" x14ac:dyDescent="0.3">
      <c r="A32" t="s">
        <v>35</v>
      </c>
    </row>
    <row r="33" spans="1:1" x14ac:dyDescent="0.3">
      <c r="A33" t="s">
        <v>36</v>
      </c>
    </row>
    <row r="34" spans="1:1" x14ac:dyDescent="0.3">
      <c r="A34" t="s">
        <v>37</v>
      </c>
    </row>
    <row r="35" spans="1:1" x14ac:dyDescent="0.3">
      <c r="A35" t="s">
        <v>38</v>
      </c>
    </row>
    <row r="36" spans="1:1" x14ac:dyDescent="0.3">
      <c r="A36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activeCell="C9" sqref="C9"/>
    </sheetView>
  </sheetViews>
  <sheetFormatPr defaultRowHeight="14.4" x14ac:dyDescent="0.3"/>
  <sheetData>
    <row r="1" spans="1:1" x14ac:dyDescent="0.3">
      <c r="A1" t="s">
        <v>41</v>
      </c>
    </row>
    <row r="2" spans="1:1" x14ac:dyDescent="0.3">
      <c r="A2" t="s">
        <v>42</v>
      </c>
    </row>
    <row r="3" spans="1:1" x14ac:dyDescent="0.3">
      <c r="A3" t="s">
        <v>43</v>
      </c>
    </row>
    <row r="4" spans="1:1" x14ac:dyDescent="0.3">
      <c r="A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topLeftCell="A2" workbookViewId="0">
      <selection activeCell="C9" sqref="C9"/>
    </sheetView>
  </sheetViews>
  <sheetFormatPr defaultRowHeight="14.4" x14ac:dyDescent="0.3"/>
  <cols>
    <col min="3" max="3" width="11" bestFit="1" customWidth="1"/>
  </cols>
  <sheetData>
    <row r="1" spans="1:3" x14ac:dyDescent="0.3">
      <c r="A1" t="s">
        <v>45</v>
      </c>
    </row>
    <row r="2" spans="1:3" x14ac:dyDescent="0.3">
      <c r="A2" t="s">
        <v>46</v>
      </c>
    </row>
    <row r="3" spans="1:3" x14ac:dyDescent="0.3">
      <c r="A3" t="s">
        <v>47</v>
      </c>
      <c r="B3" t="s">
        <v>48</v>
      </c>
      <c r="C3" t="s">
        <v>49</v>
      </c>
    </row>
    <row r="4" spans="1:3" x14ac:dyDescent="0.3">
      <c r="A4" t="s">
        <v>42</v>
      </c>
      <c r="B4">
        <v>1</v>
      </c>
      <c r="C4">
        <v>805000</v>
      </c>
    </row>
    <row r="5" spans="1:3" x14ac:dyDescent="0.3">
      <c r="A5" t="s">
        <v>42</v>
      </c>
      <c r="B5">
        <v>2</v>
      </c>
      <c r="C5">
        <v>805000</v>
      </c>
    </row>
    <row r="6" spans="1:3" x14ac:dyDescent="0.3">
      <c r="A6" t="s">
        <v>42</v>
      </c>
      <c r="B6">
        <v>3</v>
      </c>
      <c r="C6">
        <v>805000</v>
      </c>
    </row>
    <row r="7" spans="1:3" x14ac:dyDescent="0.3">
      <c r="A7" t="s">
        <v>42</v>
      </c>
      <c r="B7">
        <v>4</v>
      </c>
      <c r="C7">
        <v>805000</v>
      </c>
    </row>
    <row r="8" spans="1:3" x14ac:dyDescent="0.3">
      <c r="A8" t="s">
        <v>42</v>
      </c>
      <c r="B8">
        <v>5</v>
      </c>
      <c r="C8">
        <v>805000</v>
      </c>
    </row>
    <row r="9" spans="1:3" x14ac:dyDescent="0.3">
      <c r="A9" t="s">
        <v>42</v>
      </c>
      <c r="B9">
        <v>6</v>
      </c>
      <c r="C9">
        <v>805000</v>
      </c>
    </row>
    <row r="10" spans="1:3" x14ac:dyDescent="0.3">
      <c r="A10" t="s">
        <v>42</v>
      </c>
      <c r="B10">
        <v>7</v>
      </c>
      <c r="C10">
        <v>805000</v>
      </c>
    </row>
    <row r="11" spans="1:3" x14ac:dyDescent="0.3">
      <c r="A11" t="s">
        <v>43</v>
      </c>
      <c r="B11">
        <v>1</v>
      </c>
      <c r="C11">
        <v>99999999</v>
      </c>
    </row>
    <row r="12" spans="1:3" x14ac:dyDescent="0.3">
      <c r="A12" t="s">
        <v>43</v>
      </c>
      <c r="B12">
        <v>2</v>
      </c>
      <c r="C12">
        <v>99999999</v>
      </c>
    </row>
    <row r="13" spans="1:3" x14ac:dyDescent="0.3">
      <c r="A13" t="s">
        <v>43</v>
      </c>
      <c r="B13">
        <v>3</v>
      </c>
      <c r="C13">
        <v>99999999</v>
      </c>
    </row>
    <row r="14" spans="1:3" x14ac:dyDescent="0.3">
      <c r="A14" t="s">
        <v>43</v>
      </c>
      <c r="B14">
        <v>4</v>
      </c>
      <c r="C14">
        <v>99999999</v>
      </c>
    </row>
    <row r="15" spans="1:3" x14ac:dyDescent="0.3">
      <c r="A15" t="s">
        <v>43</v>
      </c>
      <c r="B15">
        <v>5</v>
      </c>
      <c r="C15">
        <v>99999999</v>
      </c>
    </row>
    <row r="16" spans="1:3" x14ac:dyDescent="0.3">
      <c r="A16" t="s">
        <v>43</v>
      </c>
      <c r="B16">
        <v>6</v>
      </c>
      <c r="C16">
        <v>99999999</v>
      </c>
    </row>
    <row r="17" spans="1:3" x14ac:dyDescent="0.3">
      <c r="A17" t="s">
        <v>43</v>
      </c>
      <c r="B17">
        <v>7</v>
      </c>
      <c r="C17">
        <v>99999999</v>
      </c>
    </row>
    <row r="18" spans="1:3" x14ac:dyDescent="0.3">
      <c r="A18" t="s">
        <v>44</v>
      </c>
      <c r="B18">
        <v>1</v>
      </c>
      <c r="C18">
        <v>99999999</v>
      </c>
    </row>
    <row r="19" spans="1:3" x14ac:dyDescent="0.3">
      <c r="A19" t="s">
        <v>44</v>
      </c>
      <c r="B19">
        <v>2</v>
      </c>
      <c r="C19">
        <v>99999999</v>
      </c>
    </row>
    <row r="20" spans="1:3" x14ac:dyDescent="0.3">
      <c r="A20" t="s">
        <v>44</v>
      </c>
      <c r="B20">
        <v>3</v>
      </c>
      <c r="C20">
        <v>99999999</v>
      </c>
    </row>
    <row r="21" spans="1:3" x14ac:dyDescent="0.3">
      <c r="A21" t="s">
        <v>44</v>
      </c>
      <c r="B21">
        <v>4</v>
      </c>
      <c r="C21">
        <v>99999999</v>
      </c>
    </row>
    <row r="22" spans="1:3" x14ac:dyDescent="0.3">
      <c r="A22" t="s">
        <v>44</v>
      </c>
      <c r="B22">
        <v>5</v>
      </c>
      <c r="C22">
        <v>99999999</v>
      </c>
    </row>
    <row r="23" spans="1:3" x14ac:dyDescent="0.3">
      <c r="A23" t="s">
        <v>44</v>
      </c>
      <c r="B23">
        <v>6</v>
      </c>
      <c r="C23">
        <v>99999999</v>
      </c>
    </row>
    <row r="24" spans="1:3" x14ac:dyDescent="0.3">
      <c r="A24" t="s">
        <v>44</v>
      </c>
      <c r="B24">
        <v>7</v>
      </c>
      <c r="C24">
        <v>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7"/>
  <sheetViews>
    <sheetView workbookViewId="0">
      <selection activeCell="C9" sqref="C9"/>
    </sheetView>
  </sheetViews>
  <sheetFormatPr defaultRowHeight="14.4" x14ac:dyDescent="0.3"/>
  <cols>
    <col min="1" max="1" width="15.88671875" customWidth="1"/>
    <col min="3" max="3" width="12" bestFit="1" customWidth="1"/>
  </cols>
  <sheetData>
    <row r="1" spans="1:3" x14ac:dyDescent="0.3">
      <c r="A1" t="s">
        <v>45</v>
      </c>
    </row>
    <row r="2" spans="1:3" x14ac:dyDescent="0.3">
      <c r="A2" t="s">
        <v>50</v>
      </c>
    </row>
    <row r="3" spans="1:3" x14ac:dyDescent="0.3">
      <c r="A3" t="s">
        <v>47</v>
      </c>
      <c r="B3" t="s">
        <v>48</v>
      </c>
      <c r="C3" t="s">
        <v>51</v>
      </c>
    </row>
    <row r="4" spans="1:3" x14ac:dyDescent="0.3">
      <c r="A4" t="s">
        <v>42</v>
      </c>
      <c r="B4">
        <v>1</v>
      </c>
      <c r="C4">
        <v>37800</v>
      </c>
    </row>
    <row r="5" spans="1:3" x14ac:dyDescent="0.3">
      <c r="A5" t="s">
        <v>42</v>
      </c>
      <c r="B5">
        <v>2</v>
      </c>
      <c r="C5">
        <v>37800</v>
      </c>
    </row>
    <row r="6" spans="1:3" x14ac:dyDescent="0.3">
      <c r="A6" t="s">
        <v>42</v>
      </c>
      <c r="B6">
        <v>3</v>
      </c>
      <c r="C6">
        <v>37800</v>
      </c>
    </row>
    <row r="7" spans="1:3" x14ac:dyDescent="0.3">
      <c r="A7" t="s">
        <v>42</v>
      </c>
      <c r="B7">
        <v>4</v>
      </c>
      <c r="C7">
        <v>37800</v>
      </c>
    </row>
    <row r="8" spans="1:3" x14ac:dyDescent="0.3">
      <c r="A8" t="s">
        <v>42</v>
      </c>
      <c r="B8">
        <v>5</v>
      </c>
      <c r="C8">
        <v>37800</v>
      </c>
    </row>
    <row r="9" spans="1:3" x14ac:dyDescent="0.3">
      <c r="A9" t="s">
        <v>42</v>
      </c>
      <c r="B9">
        <v>6</v>
      </c>
      <c r="C9">
        <v>37800</v>
      </c>
    </row>
    <row r="10" spans="1:3" x14ac:dyDescent="0.3">
      <c r="A10" t="s">
        <v>42</v>
      </c>
      <c r="B10">
        <v>7</v>
      </c>
      <c r="C10">
        <v>37800</v>
      </c>
    </row>
    <row r="11" spans="1:3" x14ac:dyDescent="0.3">
      <c r="A11" t="s">
        <v>42</v>
      </c>
      <c r="B11">
        <v>8</v>
      </c>
      <c r="C11">
        <v>37800</v>
      </c>
    </row>
    <row r="12" spans="1:3" x14ac:dyDescent="0.3">
      <c r="A12" t="s">
        <v>43</v>
      </c>
      <c r="B12">
        <v>1</v>
      </c>
      <c r="C12">
        <v>99999999</v>
      </c>
    </row>
    <row r="13" spans="1:3" x14ac:dyDescent="0.3">
      <c r="A13" t="s">
        <v>43</v>
      </c>
      <c r="B13">
        <v>2</v>
      </c>
      <c r="C13">
        <v>99999999</v>
      </c>
    </row>
    <row r="14" spans="1:3" x14ac:dyDescent="0.3">
      <c r="A14" t="s">
        <v>43</v>
      </c>
      <c r="B14">
        <v>3</v>
      </c>
      <c r="C14">
        <v>99999999</v>
      </c>
    </row>
    <row r="15" spans="1:3" x14ac:dyDescent="0.3">
      <c r="A15" t="s">
        <v>43</v>
      </c>
      <c r="B15">
        <v>4</v>
      </c>
      <c r="C15">
        <v>99999999</v>
      </c>
    </row>
    <row r="16" spans="1:3" x14ac:dyDescent="0.3">
      <c r="A16" t="s">
        <v>43</v>
      </c>
      <c r="B16">
        <v>5</v>
      </c>
      <c r="C16">
        <v>99999999</v>
      </c>
    </row>
    <row r="17" spans="1:3" x14ac:dyDescent="0.3">
      <c r="A17" t="s">
        <v>43</v>
      </c>
      <c r="B17">
        <v>6</v>
      </c>
      <c r="C17">
        <v>99999999</v>
      </c>
    </row>
    <row r="18" spans="1:3" x14ac:dyDescent="0.3">
      <c r="A18" t="s">
        <v>43</v>
      </c>
      <c r="B18">
        <v>7</v>
      </c>
      <c r="C18">
        <v>99999999</v>
      </c>
    </row>
    <row r="19" spans="1:3" x14ac:dyDescent="0.3">
      <c r="A19" t="s">
        <v>43</v>
      </c>
      <c r="B19">
        <v>8</v>
      </c>
      <c r="C19">
        <v>99999999</v>
      </c>
    </row>
    <row r="20" spans="1:3" x14ac:dyDescent="0.3">
      <c r="A20" t="s">
        <v>44</v>
      </c>
      <c r="B20">
        <v>1</v>
      </c>
      <c r="C20">
        <v>99999999</v>
      </c>
    </row>
    <row r="21" spans="1:3" x14ac:dyDescent="0.3">
      <c r="A21" t="s">
        <v>44</v>
      </c>
      <c r="B21">
        <v>2</v>
      </c>
      <c r="C21">
        <v>99999999</v>
      </c>
    </row>
    <row r="22" spans="1:3" x14ac:dyDescent="0.3">
      <c r="A22" t="s">
        <v>44</v>
      </c>
      <c r="B22">
        <v>3</v>
      </c>
      <c r="C22">
        <v>99999999</v>
      </c>
    </row>
    <row r="23" spans="1:3" x14ac:dyDescent="0.3">
      <c r="A23" t="s">
        <v>44</v>
      </c>
      <c r="B23">
        <v>4</v>
      </c>
      <c r="C23">
        <v>99999999</v>
      </c>
    </row>
    <row r="24" spans="1:3" x14ac:dyDescent="0.3">
      <c r="A24" t="s">
        <v>44</v>
      </c>
      <c r="B24">
        <v>5</v>
      </c>
      <c r="C24">
        <v>99999999</v>
      </c>
    </row>
    <row r="25" spans="1:3" x14ac:dyDescent="0.3">
      <c r="A25" t="s">
        <v>44</v>
      </c>
      <c r="B25">
        <v>6</v>
      </c>
      <c r="C25">
        <v>99999999</v>
      </c>
    </row>
    <row r="26" spans="1:3" x14ac:dyDescent="0.3">
      <c r="A26" t="s">
        <v>44</v>
      </c>
      <c r="B26">
        <v>7</v>
      </c>
      <c r="C26">
        <v>99999999</v>
      </c>
    </row>
    <row r="27" spans="1:3" x14ac:dyDescent="0.3">
      <c r="A27" t="s">
        <v>44</v>
      </c>
      <c r="B27">
        <v>8</v>
      </c>
      <c r="C27">
        <v>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>
      <selection activeCell="C9" sqref="C9"/>
    </sheetView>
  </sheetViews>
  <sheetFormatPr defaultRowHeight="14.4" x14ac:dyDescent="0.3"/>
  <sheetData>
    <row r="1" spans="1:3" x14ac:dyDescent="0.3">
      <c r="A1" t="s">
        <v>45</v>
      </c>
    </row>
    <row r="2" spans="1:3" x14ac:dyDescent="0.3">
      <c r="A2" t="s">
        <v>52</v>
      </c>
    </row>
    <row r="3" spans="1:3" x14ac:dyDescent="0.3">
      <c r="A3" t="s">
        <v>47</v>
      </c>
      <c r="B3" t="s">
        <v>48</v>
      </c>
      <c r="C3" t="s">
        <v>53</v>
      </c>
    </row>
    <row r="4" spans="1:3" x14ac:dyDescent="0.3">
      <c r="A4" t="s">
        <v>42</v>
      </c>
      <c r="B4">
        <v>1</v>
      </c>
      <c r="C4">
        <v>9.6</v>
      </c>
    </row>
    <row r="5" spans="1:3" x14ac:dyDescent="0.3">
      <c r="A5" t="s">
        <v>42</v>
      </c>
      <c r="B5">
        <v>2</v>
      </c>
      <c r="C5">
        <v>6</v>
      </c>
    </row>
    <row r="6" spans="1:3" x14ac:dyDescent="0.3">
      <c r="A6" t="s">
        <v>42</v>
      </c>
      <c r="B6">
        <v>3</v>
      </c>
      <c r="C6">
        <v>6</v>
      </c>
    </row>
    <row r="7" spans="1:3" x14ac:dyDescent="0.3">
      <c r="A7" t="s">
        <v>42</v>
      </c>
      <c r="B7">
        <v>4</v>
      </c>
      <c r="C7">
        <v>6</v>
      </c>
    </row>
    <row r="8" spans="1:3" x14ac:dyDescent="0.3">
      <c r="A8" t="s">
        <v>42</v>
      </c>
      <c r="B8">
        <v>5</v>
      </c>
      <c r="C8">
        <v>6</v>
      </c>
    </row>
    <row r="9" spans="1:3" x14ac:dyDescent="0.3">
      <c r="A9" t="s">
        <v>42</v>
      </c>
      <c r="B9">
        <v>6</v>
      </c>
      <c r="C9">
        <v>6</v>
      </c>
    </row>
    <row r="10" spans="1:3" x14ac:dyDescent="0.3">
      <c r="A10" t="s">
        <v>42</v>
      </c>
      <c r="B10">
        <v>7</v>
      </c>
      <c r="C10">
        <v>6</v>
      </c>
    </row>
    <row r="11" spans="1:3" x14ac:dyDescent="0.3">
      <c r="A11" t="s">
        <v>43</v>
      </c>
      <c r="B11">
        <v>1</v>
      </c>
      <c r="C11">
        <v>99999999</v>
      </c>
    </row>
    <row r="12" spans="1:3" x14ac:dyDescent="0.3">
      <c r="A12" t="s">
        <v>43</v>
      </c>
      <c r="B12">
        <v>2</v>
      </c>
      <c r="C12">
        <v>99999999</v>
      </c>
    </row>
    <row r="13" spans="1:3" x14ac:dyDescent="0.3">
      <c r="A13" t="s">
        <v>43</v>
      </c>
      <c r="B13">
        <v>3</v>
      </c>
      <c r="C13">
        <v>99999999</v>
      </c>
    </row>
    <row r="14" spans="1:3" x14ac:dyDescent="0.3">
      <c r="A14" t="s">
        <v>43</v>
      </c>
      <c r="B14">
        <v>4</v>
      </c>
      <c r="C14">
        <v>99999999</v>
      </c>
    </row>
    <row r="15" spans="1:3" x14ac:dyDescent="0.3">
      <c r="A15" t="s">
        <v>43</v>
      </c>
      <c r="B15">
        <v>5</v>
      </c>
      <c r="C15">
        <v>99999999</v>
      </c>
    </row>
    <row r="16" spans="1:3" x14ac:dyDescent="0.3">
      <c r="A16" t="s">
        <v>43</v>
      </c>
      <c r="B16">
        <v>6</v>
      </c>
      <c r="C16">
        <v>99999999</v>
      </c>
    </row>
    <row r="17" spans="1:3" x14ac:dyDescent="0.3">
      <c r="A17" t="s">
        <v>43</v>
      </c>
      <c r="B17">
        <v>7</v>
      </c>
      <c r="C17">
        <v>99999999</v>
      </c>
    </row>
    <row r="18" spans="1:3" x14ac:dyDescent="0.3">
      <c r="A18" t="s">
        <v>44</v>
      </c>
      <c r="B18">
        <v>1</v>
      </c>
      <c r="C18">
        <v>99999999</v>
      </c>
    </row>
    <row r="19" spans="1:3" x14ac:dyDescent="0.3">
      <c r="A19" t="s">
        <v>44</v>
      </c>
      <c r="B19">
        <v>2</v>
      </c>
      <c r="C19">
        <v>99999999</v>
      </c>
    </row>
    <row r="20" spans="1:3" x14ac:dyDescent="0.3">
      <c r="A20" t="s">
        <v>44</v>
      </c>
      <c r="B20">
        <v>3</v>
      </c>
      <c r="C20">
        <v>99999999</v>
      </c>
    </row>
    <row r="21" spans="1:3" x14ac:dyDescent="0.3">
      <c r="A21" t="s">
        <v>44</v>
      </c>
      <c r="B21">
        <v>4</v>
      </c>
      <c r="C21">
        <v>99999999</v>
      </c>
    </row>
    <row r="22" spans="1:3" x14ac:dyDescent="0.3">
      <c r="A22" t="s">
        <v>44</v>
      </c>
      <c r="B22">
        <v>5</v>
      </c>
      <c r="C22">
        <v>99999999</v>
      </c>
    </row>
    <row r="23" spans="1:3" x14ac:dyDescent="0.3">
      <c r="A23" t="s">
        <v>44</v>
      </c>
      <c r="B23">
        <v>6</v>
      </c>
      <c r="C23">
        <v>99999999</v>
      </c>
    </row>
    <row r="24" spans="1:3" x14ac:dyDescent="0.3">
      <c r="A24" t="s">
        <v>44</v>
      </c>
      <c r="B24">
        <v>7</v>
      </c>
      <c r="C24">
        <v>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4"/>
  <sheetViews>
    <sheetView workbookViewId="0">
      <selection activeCell="C16" sqref="C16"/>
    </sheetView>
  </sheetViews>
  <sheetFormatPr defaultRowHeight="14.4" x14ac:dyDescent="0.3"/>
  <sheetData>
    <row r="1" spans="1:3" x14ac:dyDescent="0.3">
      <c r="A1" t="s">
        <v>54</v>
      </c>
    </row>
    <row r="2" spans="1:3" x14ac:dyDescent="0.3">
      <c r="A2" t="s">
        <v>55</v>
      </c>
    </row>
    <row r="3" spans="1:3" x14ac:dyDescent="0.3">
      <c r="A3" t="s">
        <v>47</v>
      </c>
      <c r="B3" t="s">
        <v>48</v>
      </c>
      <c r="C3" t="s">
        <v>56</v>
      </c>
    </row>
    <row r="4" spans="1:3" x14ac:dyDescent="0.3">
      <c r="A4" t="s">
        <v>42</v>
      </c>
      <c r="B4">
        <v>1</v>
      </c>
      <c r="C4">
        <v>0.75757575757575757</v>
      </c>
    </row>
    <row r="5" spans="1:3" x14ac:dyDescent="0.3">
      <c r="A5" t="s">
        <v>42</v>
      </c>
      <c r="B5">
        <v>2</v>
      </c>
      <c r="C5">
        <v>0.75757575757575757</v>
      </c>
    </row>
    <row r="6" spans="1:3" x14ac:dyDescent="0.3">
      <c r="A6" t="s">
        <v>42</v>
      </c>
      <c r="B6">
        <v>3</v>
      </c>
      <c r="C6">
        <v>0.75757575757575757</v>
      </c>
    </row>
    <row r="7" spans="1:3" x14ac:dyDescent="0.3">
      <c r="A7" t="s">
        <v>42</v>
      </c>
      <c r="B7">
        <v>4</v>
      </c>
      <c r="C7">
        <v>0.75757575757575757</v>
      </c>
    </row>
    <row r="8" spans="1:3" x14ac:dyDescent="0.3">
      <c r="A8" t="s">
        <v>42</v>
      </c>
      <c r="B8">
        <v>5</v>
      </c>
      <c r="C8">
        <v>0.75757575757575757</v>
      </c>
    </row>
    <row r="9" spans="1:3" x14ac:dyDescent="0.3">
      <c r="A9" t="s">
        <v>42</v>
      </c>
      <c r="B9">
        <v>6</v>
      </c>
      <c r="C9">
        <v>0.75757575757575757</v>
      </c>
    </row>
    <row r="10" spans="1:3" x14ac:dyDescent="0.3">
      <c r="A10" t="s">
        <v>42</v>
      </c>
      <c r="B10">
        <v>7</v>
      </c>
      <c r="C10">
        <v>0.75757575757575757</v>
      </c>
    </row>
    <row r="11" spans="1:3" x14ac:dyDescent="0.3">
      <c r="A11" t="s">
        <v>43</v>
      </c>
      <c r="B11">
        <v>1</v>
      </c>
      <c r="C11">
        <v>0.01</v>
      </c>
    </row>
    <row r="12" spans="1:3" x14ac:dyDescent="0.3">
      <c r="A12" t="s">
        <v>43</v>
      </c>
      <c r="B12">
        <v>2</v>
      </c>
      <c r="C12">
        <v>0.01</v>
      </c>
    </row>
    <row r="13" spans="1:3" x14ac:dyDescent="0.3">
      <c r="A13" t="s">
        <v>43</v>
      </c>
      <c r="B13">
        <v>3</v>
      </c>
      <c r="C13">
        <v>0.01</v>
      </c>
    </row>
    <row r="14" spans="1:3" x14ac:dyDescent="0.3">
      <c r="A14" t="s">
        <v>43</v>
      </c>
      <c r="B14">
        <v>4</v>
      </c>
      <c r="C14">
        <v>0.01</v>
      </c>
    </row>
    <row r="15" spans="1:3" x14ac:dyDescent="0.3">
      <c r="A15" t="s">
        <v>43</v>
      </c>
      <c r="B15">
        <v>5</v>
      </c>
      <c r="C15">
        <v>0.01</v>
      </c>
    </row>
    <row r="16" spans="1:3" x14ac:dyDescent="0.3">
      <c r="A16" t="s">
        <v>43</v>
      </c>
      <c r="B16">
        <v>6</v>
      </c>
      <c r="C16">
        <v>0.01</v>
      </c>
    </row>
    <row r="17" spans="1:3" x14ac:dyDescent="0.3">
      <c r="A17" t="s">
        <v>43</v>
      </c>
      <c r="B17">
        <v>7</v>
      </c>
      <c r="C17">
        <v>0.01</v>
      </c>
    </row>
    <row r="18" spans="1:3" x14ac:dyDescent="0.3">
      <c r="A18" t="s">
        <v>44</v>
      </c>
      <c r="B18">
        <v>1</v>
      </c>
      <c r="C18">
        <v>0.01</v>
      </c>
    </row>
    <row r="19" spans="1:3" x14ac:dyDescent="0.3">
      <c r="A19" t="s">
        <v>44</v>
      </c>
      <c r="B19">
        <v>2</v>
      </c>
      <c r="C19">
        <v>0.01</v>
      </c>
    </row>
    <row r="20" spans="1:3" x14ac:dyDescent="0.3">
      <c r="A20" t="s">
        <v>44</v>
      </c>
      <c r="B20">
        <v>3</v>
      </c>
      <c r="C20">
        <v>0.01</v>
      </c>
    </row>
    <row r="21" spans="1:3" x14ac:dyDescent="0.3">
      <c r="A21" t="s">
        <v>44</v>
      </c>
      <c r="B21">
        <v>4</v>
      </c>
      <c r="C21">
        <v>0.01</v>
      </c>
    </row>
    <row r="22" spans="1:3" x14ac:dyDescent="0.3">
      <c r="A22" t="s">
        <v>44</v>
      </c>
      <c r="B22">
        <v>5</v>
      </c>
      <c r="C22">
        <v>0.01</v>
      </c>
    </row>
    <row r="23" spans="1:3" x14ac:dyDescent="0.3">
      <c r="A23" t="s">
        <v>44</v>
      </c>
      <c r="B23">
        <v>6</v>
      </c>
      <c r="C23">
        <v>0.01</v>
      </c>
    </row>
    <row r="24" spans="1:3" x14ac:dyDescent="0.3">
      <c r="A24" t="s">
        <v>44</v>
      </c>
      <c r="B24">
        <v>7</v>
      </c>
      <c r="C24">
        <v>0.01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"/>
  <sheetViews>
    <sheetView workbookViewId="0">
      <selection activeCell="J31" sqref="J31"/>
    </sheetView>
  </sheetViews>
  <sheetFormatPr defaultRowHeight="14.4" x14ac:dyDescent="0.3"/>
  <sheetData>
    <row r="1" spans="1:3" x14ac:dyDescent="0.3">
      <c r="A1" t="s">
        <v>54</v>
      </c>
    </row>
    <row r="2" spans="1:3" x14ac:dyDescent="0.3">
      <c r="A2" t="s">
        <v>57</v>
      </c>
    </row>
    <row r="3" spans="1:3" x14ac:dyDescent="0.3">
      <c r="A3" t="s">
        <v>47</v>
      </c>
      <c r="B3" t="s">
        <v>48</v>
      </c>
      <c r="C3" t="s">
        <v>58</v>
      </c>
    </row>
    <row r="4" spans="1:3" x14ac:dyDescent="0.3">
      <c r="A4" t="s">
        <v>42</v>
      </c>
      <c r="B4">
        <v>1</v>
      </c>
      <c r="C4">
        <v>-0.66666666666666663</v>
      </c>
    </row>
    <row r="5" spans="1:3" x14ac:dyDescent="0.3">
      <c r="A5" t="s">
        <v>42</v>
      </c>
      <c r="B5">
        <v>2</v>
      </c>
      <c r="C5">
        <v>-0.66666666666666663</v>
      </c>
    </row>
    <row r="6" spans="1:3" x14ac:dyDescent="0.3">
      <c r="A6" t="s">
        <v>42</v>
      </c>
      <c r="B6">
        <v>3</v>
      </c>
      <c r="C6">
        <v>-0.66666666666666663</v>
      </c>
    </row>
    <row r="7" spans="1:3" x14ac:dyDescent="0.3">
      <c r="A7" t="s">
        <v>42</v>
      </c>
      <c r="B7">
        <v>4</v>
      </c>
      <c r="C7">
        <v>-0.66666666666666663</v>
      </c>
    </row>
    <row r="8" spans="1:3" x14ac:dyDescent="0.3">
      <c r="A8" t="s">
        <v>42</v>
      </c>
      <c r="B8">
        <v>5</v>
      </c>
      <c r="C8">
        <v>-0.66666666666666663</v>
      </c>
    </row>
    <row r="9" spans="1:3" x14ac:dyDescent="0.3">
      <c r="A9" t="s">
        <v>42</v>
      </c>
      <c r="B9">
        <v>6</v>
      </c>
      <c r="C9">
        <v>-0.66666666666666663</v>
      </c>
    </row>
    <row r="10" spans="1:3" x14ac:dyDescent="0.3">
      <c r="A10" t="s">
        <v>42</v>
      </c>
      <c r="B10">
        <v>7</v>
      </c>
      <c r="C10">
        <v>-0.66666666666666663</v>
      </c>
    </row>
    <row r="11" spans="1:3" x14ac:dyDescent="0.3">
      <c r="A11" t="s">
        <v>43</v>
      </c>
      <c r="B11">
        <v>1</v>
      </c>
      <c r="C11">
        <v>0.49999999999999989</v>
      </c>
    </row>
    <row r="12" spans="1:3" x14ac:dyDescent="0.3">
      <c r="A12" t="s">
        <v>43</v>
      </c>
      <c r="B12">
        <v>2</v>
      </c>
      <c r="C12">
        <v>0.49999999999999989</v>
      </c>
    </row>
    <row r="13" spans="1:3" x14ac:dyDescent="0.3">
      <c r="A13" t="s">
        <v>43</v>
      </c>
      <c r="B13">
        <v>3</v>
      </c>
      <c r="C13">
        <v>0.49999999999999989</v>
      </c>
    </row>
    <row r="14" spans="1:3" x14ac:dyDescent="0.3">
      <c r="A14" t="s">
        <v>43</v>
      </c>
      <c r="B14">
        <v>4</v>
      </c>
      <c r="C14">
        <v>0.49999999999999989</v>
      </c>
    </row>
    <row r="15" spans="1:3" x14ac:dyDescent="0.3">
      <c r="A15" t="s">
        <v>43</v>
      </c>
      <c r="B15">
        <v>5</v>
      </c>
      <c r="C15">
        <v>0.49999999999999989</v>
      </c>
    </row>
    <row r="16" spans="1:3" x14ac:dyDescent="0.3">
      <c r="A16" t="s">
        <v>43</v>
      </c>
      <c r="B16">
        <v>6</v>
      </c>
      <c r="C16">
        <v>0.49999999999999989</v>
      </c>
    </row>
    <row r="17" spans="1:3" x14ac:dyDescent="0.3">
      <c r="A17" t="s">
        <v>43</v>
      </c>
      <c r="B17">
        <v>7</v>
      </c>
      <c r="C17">
        <v>0.49999999999999989</v>
      </c>
    </row>
    <row r="18" spans="1:3" x14ac:dyDescent="0.3">
      <c r="A18" t="s">
        <v>44</v>
      </c>
      <c r="B18">
        <v>1</v>
      </c>
      <c r="C18">
        <v>1.866666666666666</v>
      </c>
    </row>
    <row r="19" spans="1:3" x14ac:dyDescent="0.3">
      <c r="A19" t="s">
        <v>44</v>
      </c>
      <c r="B19">
        <v>2</v>
      </c>
      <c r="C19">
        <v>1.666666666666667</v>
      </c>
    </row>
    <row r="20" spans="1:3" x14ac:dyDescent="0.3">
      <c r="A20" t="s">
        <v>44</v>
      </c>
      <c r="B20">
        <v>3</v>
      </c>
      <c r="C20">
        <v>1.666666666666667</v>
      </c>
    </row>
    <row r="21" spans="1:3" x14ac:dyDescent="0.3">
      <c r="A21" t="s">
        <v>44</v>
      </c>
      <c r="B21">
        <v>4</v>
      </c>
      <c r="C21">
        <v>1.666666666666667</v>
      </c>
    </row>
    <row r="22" spans="1:3" x14ac:dyDescent="0.3">
      <c r="A22" t="s">
        <v>44</v>
      </c>
      <c r="B22">
        <v>5</v>
      </c>
      <c r="C22">
        <v>1.666666666666667</v>
      </c>
    </row>
    <row r="23" spans="1:3" x14ac:dyDescent="0.3">
      <c r="A23" t="s">
        <v>44</v>
      </c>
      <c r="B23">
        <v>6</v>
      </c>
      <c r="C23">
        <v>1.666666666666667</v>
      </c>
    </row>
    <row r="24" spans="1:3" x14ac:dyDescent="0.3">
      <c r="A24" t="s">
        <v>44</v>
      </c>
      <c r="B24">
        <v>7</v>
      </c>
      <c r="C24">
        <v>1.666666666666667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>
      <selection activeCell="A3" sqref="A3"/>
    </sheetView>
  </sheetViews>
  <sheetFormatPr defaultRowHeight="14.4" x14ac:dyDescent="0.3"/>
  <sheetData>
    <row r="1" spans="1:2" x14ac:dyDescent="0.3">
      <c r="A1" t="s">
        <v>54</v>
      </c>
    </row>
    <row r="2" spans="1:2" x14ac:dyDescent="0.3">
      <c r="A2" t="s">
        <v>59</v>
      </c>
    </row>
    <row r="3" spans="1:2" x14ac:dyDescent="0.3">
      <c r="A3" t="s">
        <v>60</v>
      </c>
      <c r="B3" t="s">
        <v>61</v>
      </c>
    </row>
    <row r="4" spans="1:2" x14ac:dyDescent="0.3">
      <c r="A4" t="s">
        <v>42</v>
      </c>
      <c r="B4">
        <v>25</v>
      </c>
    </row>
    <row r="5" spans="1:2" x14ac:dyDescent="0.3">
      <c r="A5" t="s">
        <v>43</v>
      </c>
      <c r="B5">
        <v>25</v>
      </c>
    </row>
    <row r="6" spans="1:2" x14ac:dyDescent="0.3">
      <c r="A6" t="s">
        <v>44</v>
      </c>
      <c r="B6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4"/>
  <sheetViews>
    <sheetView workbookViewId="0">
      <selection activeCell="M35" sqref="M35"/>
    </sheetView>
  </sheetViews>
  <sheetFormatPr defaultRowHeight="14.4" x14ac:dyDescent="0.3"/>
  <sheetData>
    <row r="1" spans="1:3" x14ac:dyDescent="0.3">
      <c r="A1" t="s">
        <v>62</v>
      </c>
    </row>
    <row r="2" spans="1:3" x14ac:dyDescent="0.3">
      <c r="A2" t="s">
        <v>63</v>
      </c>
    </row>
    <row r="3" spans="1:3" x14ac:dyDescent="0.3">
      <c r="A3" t="s">
        <v>47</v>
      </c>
      <c r="B3" t="s">
        <v>48</v>
      </c>
      <c r="C3" t="s">
        <v>64</v>
      </c>
    </row>
    <row r="4" spans="1:3" x14ac:dyDescent="0.3">
      <c r="A4" t="s">
        <v>42</v>
      </c>
      <c r="B4">
        <v>1</v>
      </c>
      <c r="C4">
        <v>8.6922493765586051</v>
      </c>
    </row>
    <row r="5" spans="1:3" x14ac:dyDescent="0.3">
      <c r="A5" t="s">
        <v>42</v>
      </c>
      <c r="B5">
        <v>2</v>
      </c>
      <c r="C5">
        <v>8.6922493765586051</v>
      </c>
    </row>
    <row r="6" spans="1:3" x14ac:dyDescent="0.3">
      <c r="A6" t="s">
        <v>42</v>
      </c>
      <c r="B6">
        <v>3</v>
      </c>
      <c r="C6">
        <v>8.6922493765586051</v>
      </c>
    </row>
    <row r="7" spans="1:3" x14ac:dyDescent="0.3">
      <c r="A7" t="s">
        <v>42</v>
      </c>
      <c r="B7">
        <v>4</v>
      </c>
      <c r="C7">
        <v>8.6922493765586051</v>
      </c>
    </row>
    <row r="8" spans="1:3" x14ac:dyDescent="0.3">
      <c r="A8" t="s">
        <v>42</v>
      </c>
      <c r="B8">
        <v>5</v>
      </c>
      <c r="C8">
        <v>8.6922493765586051</v>
      </c>
    </row>
    <row r="9" spans="1:3" x14ac:dyDescent="0.3">
      <c r="A9" t="s">
        <v>42</v>
      </c>
      <c r="B9">
        <v>6</v>
      </c>
      <c r="C9">
        <v>8.6922493765586051</v>
      </c>
    </row>
    <row r="10" spans="1:3" x14ac:dyDescent="0.3">
      <c r="A10" t="s">
        <v>42</v>
      </c>
      <c r="B10">
        <v>7</v>
      </c>
      <c r="C10">
        <v>8.6922493765586051</v>
      </c>
    </row>
    <row r="11" spans="1:3" x14ac:dyDescent="0.3">
      <c r="A11" t="s">
        <v>43</v>
      </c>
      <c r="B11">
        <v>1</v>
      </c>
      <c r="C11">
        <f>C4</f>
        <v>8.6922493765586051</v>
      </c>
    </row>
    <row r="12" spans="1:3" x14ac:dyDescent="0.3">
      <c r="A12" t="s">
        <v>43</v>
      </c>
      <c r="B12">
        <v>2</v>
      </c>
      <c r="C12">
        <f t="shared" ref="C12:C24" si="0">C5</f>
        <v>8.6922493765586051</v>
      </c>
    </row>
    <row r="13" spans="1:3" x14ac:dyDescent="0.3">
      <c r="A13" t="s">
        <v>43</v>
      </c>
      <c r="B13">
        <v>3</v>
      </c>
      <c r="C13">
        <f t="shared" si="0"/>
        <v>8.6922493765586051</v>
      </c>
    </row>
    <row r="14" spans="1:3" x14ac:dyDescent="0.3">
      <c r="A14" t="s">
        <v>43</v>
      </c>
      <c r="B14">
        <v>4</v>
      </c>
      <c r="C14">
        <f t="shared" si="0"/>
        <v>8.6922493765586051</v>
      </c>
    </row>
    <row r="15" spans="1:3" x14ac:dyDescent="0.3">
      <c r="A15" t="s">
        <v>43</v>
      </c>
      <c r="B15">
        <v>5</v>
      </c>
      <c r="C15">
        <f t="shared" si="0"/>
        <v>8.6922493765586051</v>
      </c>
    </row>
    <row r="16" spans="1:3" x14ac:dyDescent="0.3">
      <c r="A16" t="s">
        <v>43</v>
      </c>
      <c r="B16">
        <v>6</v>
      </c>
      <c r="C16">
        <f t="shared" si="0"/>
        <v>8.6922493765586051</v>
      </c>
    </row>
    <row r="17" spans="1:3" x14ac:dyDescent="0.3">
      <c r="A17" t="s">
        <v>43</v>
      </c>
      <c r="B17">
        <v>7</v>
      </c>
      <c r="C17">
        <f t="shared" si="0"/>
        <v>8.6922493765586051</v>
      </c>
    </row>
    <row r="18" spans="1:3" x14ac:dyDescent="0.3">
      <c r="A18" t="s">
        <v>44</v>
      </c>
      <c r="B18">
        <v>1</v>
      </c>
      <c r="C18">
        <f t="shared" si="0"/>
        <v>8.6922493765586051</v>
      </c>
    </row>
    <row r="19" spans="1:3" x14ac:dyDescent="0.3">
      <c r="A19" t="s">
        <v>44</v>
      </c>
      <c r="B19">
        <v>2</v>
      </c>
      <c r="C19">
        <f t="shared" si="0"/>
        <v>8.6922493765586051</v>
      </c>
    </row>
    <row r="20" spans="1:3" x14ac:dyDescent="0.3">
      <c r="A20" t="s">
        <v>44</v>
      </c>
      <c r="B20">
        <v>3</v>
      </c>
      <c r="C20">
        <f t="shared" si="0"/>
        <v>8.6922493765586051</v>
      </c>
    </row>
    <row r="21" spans="1:3" x14ac:dyDescent="0.3">
      <c r="A21" t="s">
        <v>44</v>
      </c>
      <c r="B21">
        <v>4</v>
      </c>
      <c r="C21">
        <f t="shared" si="0"/>
        <v>8.6922493765586051</v>
      </c>
    </row>
    <row r="22" spans="1:3" x14ac:dyDescent="0.3">
      <c r="A22" t="s">
        <v>44</v>
      </c>
      <c r="B22">
        <v>5</v>
      </c>
      <c r="C22">
        <f t="shared" si="0"/>
        <v>8.6922493765586051</v>
      </c>
    </row>
    <row r="23" spans="1:3" x14ac:dyDescent="0.3">
      <c r="A23" t="s">
        <v>44</v>
      </c>
      <c r="B23">
        <v>6</v>
      </c>
      <c r="C23">
        <f t="shared" si="0"/>
        <v>8.6922493765586051</v>
      </c>
    </row>
    <row r="24" spans="1:3" x14ac:dyDescent="0.3">
      <c r="A24" t="s">
        <v>44</v>
      </c>
      <c r="B24">
        <v>7</v>
      </c>
      <c r="C24">
        <f t="shared" si="0"/>
        <v>8.6922493765586051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7"/>
  <sheetViews>
    <sheetView workbookViewId="0">
      <selection activeCell="L18" sqref="L18"/>
    </sheetView>
  </sheetViews>
  <sheetFormatPr defaultRowHeight="14.4" x14ac:dyDescent="0.3"/>
  <sheetData>
    <row r="1" spans="1:3" x14ac:dyDescent="0.3">
      <c r="A1" t="s">
        <v>62</v>
      </c>
    </row>
    <row r="2" spans="1:3" x14ac:dyDescent="0.3">
      <c r="A2" t="s">
        <v>65</v>
      </c>
    </row>
    <row r="3" spans="1:3" x14ac:dyDescent="0.3">
      <c r="A3" t="s">
        <v>47</v>
      </c>
      <c r="B3" t="s">
        <v>48</v>
      </c>
      <c r="C3" t="s">
        <v>66</v>
      </c>
    </row>
    <row r="4" spans="1:3" x14ac:dyDescent="0.3">
      <c r="A4" t="s">
        <v>42</v>
      </c>
      <c r="B4">
        <v>1</v>
      </c>
      <c r="C4">
        <v>0</v>
      </c>
    </row>
    <row r="5" spans="1:3" x14ac:dyDescent="0.3">
      <c r="A5" t="s">
        <v>42</v>
      </c>
      <c r="B5">
        <v>2</v>
      </c>
      <c r="C5">
        <v>0</v>
      </c>
    </row>
    <row r="6" spans="1:3" x14ac:dyDescent="0.3">
      <c r="A6" t="s">
        <v>42</v>
      </c>
      <c r="B6">
        <v>3</v>
      </c>
      <c r="C6">
        <v>0</v>
      </c>
    </row>
    <row r="7" spans="1:3" x14ac:dyDescent="0.3">
      <c r="A7" t="s">
        <v>42</v>
      </c>
      <c r="B7">
        <v>4</v>
      </c>
      <c r="C7">
        <v>0</v>
      </c>
    </row>
    <row r="8" spans="1:3" x14ac:dyDescent="0.3">
      <c r="A8" t="s">
        <v>42</v>
      </c>
      <c r="B8">
        <v>5</v>
      </c>
      <c r="C8">
        <v>0</v>
      </c>
    </row>
    <row r="9" spans="1:3" x14ac:dyDescent="0.3">
      <c r="A9" t="s">
        <v>42</v>
      </c>
      <c r="B9">
        <v>6</v>
      </c>
      <c r="C9">
        <v>0</v>
      </c>
    </row>
    <row r="10" spans="1:3" x14ac:dyDescent="0.3">
      <c r="A10" t="s">
        <v>42</v>
      </c>
      <c r="B10">
        <v>7</v>
      </c>
      <c r="C10">
        <v>0</v>
      </c>
    </row>
    <row r="11" spans="1:3" x14ac:dyDescent="0.3">
      <c r="A11" t="s">
        <v>42</v>
      </c>
      <c r="B11">
        <v>8</v>
      </c>
      <c r="C11">
        <v>0</v>
      </c>
    </row>
    <row r="12" spans="1:3" x14ac:dyDescent="0.3">
      <c r="A12" t="s">
        <v>43</v>
      </c>
      <c r="B12">
        <v>1</v>
      </c>
      <c r="C12">
        <v>0</v>
      </c>
    </row>
    <row r="13" spans="1:3" x14ac:dyDescent="0.3">
      <c r="A13" t="s">
        <v>43</v>
      </c>
      <c r="B13">
        <v>2</v>
      </c>
      <c r="C13">
        <v>0</v>
      </c>
    </row>
    <row r="14" spans="1:3" x14ac:dyDescent="0.3">
      <c r="A14" t="s">
        <v>43</v>
      </c>
      <c r="B14">
        <v>3</v>
      </c>
      <c r="C14">
        <v>0</v>
      </c>
    </row>
    <row r="15" spans="1:3" x14ac:dyDescent="0.3">
      <c r="A15" t="s">
        <v>43</v>
      </c>
      <c r="B15">
        <v>4</v>
      </c>
      <c r="C15">
        <v>0</v>
      </c>
    </row>
    <row r="16" spans="1:3" x14ac:dyDescent="0.3">
      <c r="A16" t="s">
        <v>43</v>
      </c>
      <c r="B16">
        <v>5</v>
      </c>
      <c r="C16">
        <v>0</v>
      </c>
    </row>
    <row r="17" spans="1:3" x14ac:dyDescent="0.3">
      <c r="A17" t="s">
        <v>43</v>
      </c>
      <c r="B17">
        <v>6</v>
      </c>
      <c r="C17">
        <v>0</v>
      </c>
    </row>
    <row r="18" spans="1:3" x14ac:dyDescent="0.3">
      <c r="A18" t="s">
        <v>43</v>
      </c>
      <c r="B18">
        <v>7</v>
      </c>
      <c r="C18">
        <v>0</v>
      </c>
    </row>
    <row r="19" spans="1:3" x14ac:dyDescent="0.3">
      <c r="A19" t="s">
        <v>43</v>
      </c>
      <c r="B19">
        <v>8</v>
      </c>
      <c r="C19">
        <v>0</v>
      </c>
    </row>
    <row r="20" spans="1:3" x14ac:dyDescent="0.3">
      <c r="A20" t="s">
        <v>44</v>
      </c>
      <c r="B20">
        <v>1</v>
      </c>
      <c r="C20">
        <v>0</v>
      </c>
    </row>
    <row r="21" spans="1:3" x14ac:dyDescent="0.3">
      <c r="A21" t="s">
        <v>44</v>
      </c>
      <c r="B21">
        <v>2</v>
      </c>
      <c r="C21">
        <v>0</v>
      </c>
    </row>
    <row r="22" spans="1:3" x14ac:dyDescent="0.3">
      <c r="A22" t="s">
        <v>44</v>
      </c>
      <c r="B22">
        <v>3</v>
      </c>
      <c r="C22">
        <v>0</v>
      </c>
    </row>
    <row r="23" spans="1:3" x14ac:dyDescent="0.3">
      <c r="A23" t="s">
        <v>44</v>
      </c>
      <c r="B23">
        <v>4</v>
      </c>
      <c r="C23">
        <v>0</v>
      </c>
    </row>
    <row r="24" spans="1:3" x14ac:dyDescent="0.3">
      <c r="A24" t="s">
        <v>44</v>
      </c>
      <c r="B24">
        <v>5</v>
      </c>
      <c r="C24">
        <v>0</v>
      </c>
    </row>
    <row r="25" spans="1:3" x14ac:dyDescent="0.3">
      <c r="A25" t="s">
        <v>44</v>
      </c>
      <c r="B25">
        <v>6</v>
      </c>
      <c r="C25">
        <v>0</v>
      </c>
    </row>
    <row r="26" spans="1:3" x14ac:dyDescent="0.3">
      <c r="A26" t="s">
        <v>44</v>
      </c>
      <c r="B26">
        <v>7</v>
      </c>
      <c r="C26">
        <v>0</v>
      </c>
    </row>
    <row r="27" spans="1:3" x14ac:dyDescent="0.3">
      <c r="A27" t="s">
        <v>44</v>
      </c>
      <c r="B27">
        <v>8</v>
      </c>
      <c r="C2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"/>
  <sheetViews>
    <sheetView workbookViewId="0">
      <selection activeCell="B9" sqref="B9"/>
    </sheetView>
  </sheetViews>
  <sheetFormatPr defaultRowHeight="14.4" x14ac:dyDescent="0.3"/>
  <cols>
    <col min="1" max="1" width="20.88671875" customWidth="1"/>
    <col min="4" max="4" width="10" bestFit="1" customWidth="1"/>
  </cols>
  <sheetData>
    <row r="1" spans="1:4" x14ac:dyDescent="0.3">
      <c r="A1" t="s">
        <v>94</v>
      </c>
    </row>
    <row r="2" spans="1:4" x14ac:dyDescent="0.3">
      <c r="A2" t="s">
        <v>93</v>
      </c>
    </row>
    <row r="3" spans="1:4" x14ac:dyDescent="0.3">
      <c r="A3" t="s">
        <v>48</v>
      </c>
      <c r="B3" t="s">
        <v>67</v>
      </c>
    </row>
    <row r="4" spans="1:4" x14ac:dyDescent="0.3">
      <c r="A4">
        <v>1</v>
      </c>
      <c r="B4">
        <v>99999999</v>
      </c>
      <c r="D4" s="1"/>
    </row>
    <row r="5" spans="1:4" x14ac:dyDescent="0.3">
      <c r="A5">
        <v>2</v>
      </c>
      <c r="B5">
        <v>578800</v>
      </c>
    </row>
    <row r="6" spans="1:4" x14ac:dyDescent="0.3">
      <c r="A6">
        <v>3</v>
      </c>
      <c r="B6">
        <v>514200.00000000006</v>
      </c>
    </row>
    <row r="7" spans="1:4" x14ac:dyDescent="0.3">
      <c r="A7">
        <v>4</v>
      </c>
      <c r="B7">
        <v>449100</v>
      </c>
    </row>
    <row r="8" spans="1:4" x14ac:dyDescent="0.3">
      <c r="A8">
        <v>5</v>
      </c>
      <c r="B8">
        <v>386600</v>
      </c>
    </row>
    <row r="9" spans="1:4" x14ac:dyDescent="0.3">
      <c r="A9">
        <v>6</v>
      </c>
      <c r="B9">
        <v>324100</v>
      </c>
    </row>
    <row r="10" spans="1:4" x14ac:dyDescent="0.3">
      <c r="A10">
        <v>7</v>
      </c>
      <c r="B10">
        <f>B9</f>
        <v>324100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I23" sqref="I23"/>
    </sheetView>
  </sheetViews>
  <sheetFormatPr defaultRowHeight="14.4" x14ac:dyDescent="0.3"/>
  <cols>
    <col min="1" max="1" width="20.88671875" customWidth="1"/>
  </cols>
  <sheetData>
    <row r="1" spans="1:2" x14ac:dyDescent="0.3">
      <c r="A1" t="s">
        <v>94</v>
      </c>
    </row>
    <row r="2" spans="1:2" x14ac:dyDescent="0.3">
      <c r="A2" t="s">
        <v>68</v>
      </c>
    </row>
    <row r="3" spans="1:2" x14ac:dyDescent="0.3">
      <c r="A3" t="s">
        <v>48</v>
      </c>
      <c r="B3" t="s">
        <v>69</v>
      </c>
    </row>
    <row r="4" spans="1:2" x14ac:dyDescent="0.3">
      <c r="A4">
        <v>1</v>
      </c>
      <c r="B4">
        <v>3999999.96</v>
      </c>
    </row>
    <row r="5" spans="1:2" x14ac:dyDescent="0.3">
      <c r="A5">
        <v>2</v>
      </c>
      <c r="B5">
        <v>23152</v>
      </c>
    </row>
    <row r="6" spans="1:2" x14ac:dyDescent="0.3">
      <c r="A6">
        <v>3</v>
      </c>
      <c r="B6">
        <v>20568.000000000004</v>
      </c>
    </row>
    <row r="7" spans="1:2" x14ac:dyDescent="0.3">
      <c r="A7">
        <v>4</v>
      </c>
      <c r="B7">
        <v>17964</v>
      </c>
    </row>
    <row r="8" spans="1:2" x14ac:dyDescent="0.3">
      <c r="A8">
        <v>5</v>
      </c>
      <c r="B8">
        <v>15464</v>
      </c>
    </row>
    <row r="9" spans="1:2" x14ac:dyDescent="0.3">
      <c r="A9">
        <v>6</v>
      </c>
      <c r="B9">
        <v>12964</v>
      </c>
    </row>
    <row r="10" spans="1:2" x14ac:dyDescent="0.3">
      <c r="A10">
        <v>7</v>
      </c>
      <c r="B10">
        <v>12964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"/>
  <sheetViews>
    <sheetView zoomScale="115" zoomScaleNormal="115" workbookViewId="0">
      <selection activeCell="C9" sqref="C9"/>
    </sheetView>
  </sheetViews>
  <sheetFormatPr defaultRowHeight="14.4" x14ac:dyDescent="0.3"/>
  <sheetData>
    <row r="1" spans="1:2" x14ac:dyDescent="0.3">
      <c r="A1" t="s">
        <v>70</v>
      </c>
    </row>
    <row r="2" spans="1:2" x14ac:dyDescent="0.3">
      <c r="A2" t="s">
        <v>71</v>
      </c>
    </row>
    <row r="3" spans="1:2" x14ac:dyDescent="0.3">
      <c r="A3" t="s">
        <v>48</v>
      </c>
      <c r="B3" t="s">
        <v>72</v>
      </c>
    </row>
    <row r="4" spans="1:2" x14ac:dyDescent="0.3">
      <c r="A4">
        <v>1</v>
      </c>
      <c r="B4">
        <v>0</v>
      </c>
    </row>
    <row r="5" spans="1:2" x14ac:dyDescent="0.3">
      <c r="A5">
        <v>2</v>
      </c>
      <c r="B5">
        <v>0</v>
      </c>
    </row>
    <row r="6" spans="1:2" x14ac:dyDescent="0.3">
      <c r="A6">
        <v>3</v>
      </c>
      <c r="B6">
        <v>0</v>
      </c>
    </row>
    <row r="7" spans="1:2" x14ac:dyDescent="0.3">
      <c r="A7">
        <v>4</v>
      </c>
      <c r="B7">
        <v>0</v>
      </c>
    </row>
    <row r="8" spans="1:2" x14ac:dyDescent="0.3">
      <c r="A8">
        <v>5</v>
      </c>
      <c r="B8">
        <v>0</v>
      </c>
    </row>
    <row r="9" spans="1:2" x14ac:dyDescent="0.3">
      <c r="A9">
        <v>6</v>
      </c>
      <c r="B9">
        <v>0</v>
      </c>
    </row>
    <row r="10" spans="1:2" x14ac:dyDescent="0.3">
      <c r="A10">
        <v>7</v>
      </c>
      <c r="B1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4"/>
  <sheetViews>
    <sheetView workbookViewId="0">
      <selection activeCell="H26" sqref="H26"/>
    </sheetView>
  </sheetViews>
  <sheetFormatPr defaultRowHeight="14.4" x14ac:dyDescent="0.3"/>
  <sheetData>
    <row r="1" spans="1:1" x14ac:dyDescent="0.3">
      <c r="A1" t="s">
        <v>94</v>
      </c>
    </row>
    <row r="2" spans="1:1" x14ac:dyDescent="0.3">
      <c r="A2" t="s">
        <v>73</v>
      </c>
    </row>
    <row r="3" spans="1:1" x14ac:dyDescent="0.3">
      <c r="A3" t="s">
        <v>60</v>
      </c>
    </row>
    <row r="4" spans="1:1" x14ac:dyDescent="0.3">
      <c r="A4">
        <v>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>
      <selection activeCell="B10" sqref="B10"/>
    </sheetView>
  </sheetViews>
  <sheetFormatPr defaultRowHeight="14.4" x14ac:dyDescent="0.3"/>
  <cols>
    <col min="1" max="1" width="23" customWidth="1"/>
    <col min="7" max="8" width="12" bestFit="1" customWidth="1"/>
  </cols>
  <sheetData>
    <row r="1" spans="1:2" x14ac:dyDescent="0.3">
      <c r="A1" t="s">
        <v>94</v>
      </c>
    </row>
    <row r="2" spans="1:2" x14ac:dyDescent="0.3">
      <c r="A2" t="s">
        <v>74</v>
      </c>
    </row>
    <row r="3" spans="1:2" x14ac:dyDescent="0.3">
      <c r="A3" t="s">
        <v>48</v>
      </c>
      <c r="B3" t="s">
        <v>75</v>
      </c>
    </row>
    <row r="4" spans="1:2" x14ac:dyDescent="0.3">
      <c r="A4">
        <v>1</v>
      </c>
      <c r="B4" s="2">
        <v>52.092377148810549</v>
      </c>
    </row>
    <row r="5" spans="1:2" x14ac:dyDescent="0.3">
      <c r="A5">
        <v>2</v>
      </c>
      <c r="B5" s="2">
        <v>49.107873629071854</v>
      </c>
    </row>
    <row r="6" spans="1:2" x14ac:dyDescent="0.3">
      <c r="A6">
        <v>3</v>
      </c>
      <c r="B6" s="2">
        <v>47.922062690840647</v>
      </c>
    </row>
    <row r="7" spans="1:2" x14ac:dyDescent="0.3">
      <c r="A7">
        <v>4</v>
      </c>
      <c r="B7" s="2">
        <v>46.736251752609441</v>
      </c>
    </row>
    <row r="8" spans="1:2" x14ac:dyDescent="0.3">
      <c r="A8">
        <v>5</v>
      </c>
      <c r="B8" s="2">
        <v>45.154618251032389</v>
      </c>
    </row>
    <row r="9" spans="1:2" x14ac:dyDescent="0.3">
      <c r="A9">
        <v>6</v>
      </c>
      <c r="B9" s="2">
        <v>43.57298474945533</v>
      </c>
    </row>
    <row r="10" spans="1:2" x14ac:dyDescent="0.3">
      <c r="A10">
        <v>7</v>
      </c>
      <c r="B10" s="2">
        <v>43.57298474945533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1"/>
  <sheetViews>
    <sheetView zoomScale="88" workbookViewId="0"/>
  </sheetViews>
  <sheetFormatPr defaultRowHeight="14.4" x14ac:dyDescent="0.3"/>
  <cols>
    <col min="1" max="1" width="9.33203125" bestFit="1" customWidth="1"/>
    <col min="2" max="2" width="11" bestFit="1" customWidth="1"/>
  </cols>
  <sheetData>
    <row r="1" spans="1:2" x14ac:dyDescent="0.3">
      <c r="A1" t="s">
        <v>76</v>
      </c>
    </row>
    <row r="2" spans="1:2" x14ac:dyDescent="0.3">
      <c r="A2" t="s">
        <v>77</v>
      </c>
    </row>
    <row r="3" spans="1:2" x14ac:dyDescent="0.3">
      <c r="A3" t="s">
        <v>48</v>
      </c>
      <c r="B3" t="s">
        <v>78</v>
      </c>
    </row>
    <row r="4" spans="1:2" x14ac:dyDescent="0.3">
      <c r="A4">
        <v>1</v>
      </c>
      <c r="B4">
        <v>999999</v>
      </c>
    </row>
    <row r="5" spans="1:2" x14ac:dyDescent="0.3">
      <c r="A5">
        <v>2</v>
      </c>
      <c r="B5" s="1">
        <v>18385.71428571429</v>
      </c>
    </row>
    <row r="6" spans="1:2" x14ac:dyDescent="0.3">
      <c r="A6">
        <v>3</v>
      </c>
      <c r="B6" s="1">
        <v>18038.095238095244</v>
      </c>
    </row>
    <row r="7" spans="1:2" x14ac:dyDescent="0.3">
      <c r="A7">
        <v>4</v>
      </c>
      <c r="B7" s="1">
        <v>17690.476190476198</v>
      </c>
    </row>
    <row r="8" spans="1:2" x14ac:dyDescent="0.3">
      <c r="A8">
        <v>5</v>
      </c>
      <c r="B8" s="1">
        <v>17342.857142857152</v>
      </c>
    </row>
    <row r="9" spans="1:2" x14ac:dyDescent="0.3">
      <c r="A9">
        <v>6</v>
      </c>
      <c r="B9" s="1">
        <v>16995.238095238106</v>
      </c>
    </row>
    <row r="10" spans="1:2" x14ac:dyDescent="0.3">
      <c r="A10">
        <v>7</v>
      </c>
      <c r="B10" s="1">
        <v>16647.61904761906</v>
      </c>
    </row>
    <row r="11" spans="1:2" x14ac:dyDescent="0.3">
      <c r="A11">
        <v>8</v>
      </c>
      <c r="B11" s="1">
        <v>16300.000000000002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1"/>
  <sheetViews>
    <sheetView workbookViewId="0"/>
  </sheetViews>
  <sheetFormatPr defaultRowHeight="14.4" x14ac:dyDescent="0.3"/>
  <sheetData>
    <row r="1" spans="1:2" x14ac:dyDescent="0.3">
      <c r="A1" t="s">
        <v>96</v>
      </c>
    </row>
    <row r="2" spans="1:2" x14ac:dyDescent="0.3">
      <c r="A2" t="s">
        <v>79</v>
      </c>
    </row>
    <row r="3" spans="1:2" x14ac:dyDescent="0.3">
      <c r="A3" t="s">
        <v>48</v>
      </c>
      <c r="B3" t="s">
        <v>80</v>
      </c>
    </row>
    <row r="4" spans="1:2" x14ac:dyDescent="0.3">
      <c r="A4">
        <v>1</v>
      </c>
      <c r="B4">
        <v>999999</v>
      </c>
    </row>
    <row r="5" spans="1:2" x14ac:dyDescent="0.3">
      <c r="A5">
        <v>2</v>
      </c>
      <c r="B5">
        <v>367.71428571428578</v>
      </c>
    </row>
    <row r="6" spans="1:2" x14ac:dyDescent="0.3">
      <c r="A6">
        <v>3</v>
      </c>
      <c r="B6">
        <v>360.76190476190487</v>
      </c>
    </row>
    <row r="7" spans="1:2" x14ac:dyDescent="0.3">
      <c r="A7">
        <v>4</v>
      </c>
      <c r="B7">
        <v>353.80952380952397</v>
      </c>
    </row>
    <row r="8" spans="1:2" x14ac:dyDescent="0.3">
      <c r="A8">
        <v>5</v>
      </c>
      <c r="B8">
        <v>346.85714285714306</v>
      </c>
    </row>
    <row r="9" spans="1:2" x14ac:dyDescent="0.3">
      <c r="A9">
        <v>6</v>
      </c>
      <c r="B9">
        <v>339.90476190476215</v>
      </c>
    </row>
    <row r="10" spans="1:2" x14ac:dyDescent="0.3">
      <c r="A10">
        <v>7</v>
      </c>
      <c r="B10">
        <v>332.95238095238119</v>
      </c>
    </row>
    <row r="11" spans="1:2" x14ac:dyDescent="0.3">
      <c r="A11">
        <v>8</v>
      </c>
      <c r="B11">
        <v>326.00000000000006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4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81</v>
      </c>
    </row>
    <row r="2" spans="1:1" x14ac:dyDescent="0.3">
      <c r="A2" t="s">
        <v>82</v>
      </c>
    </row>
    <row r="3" spans="1:1" x14ac:dyDescent="0.3">
      <c r="A3" t="s">
        <v>83</v>
      </c>
    </row>
    <row r="4" spans="1:1" x14ac:dyDescent="0.3">
      <c r="A4">
        <v>8.5515976331360934E-4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C3A2-0DD7-4A1F-82C5-37843E35D486}">
  <dimension ref="A1:A3"/>
  <sheetViews>
    <sheetView workbookViewId="0"/>
  </sheetViews>
  <sheetFormatPr defaultColWidth="12.21875" defaultRowHeight="15.6" x14ac:dyDescent="0.3"/>
  <cols>
    <col min="1" max="16384" width="12.21875" style="11"/>
  </cols>
  <sheetData>
    <row r="1" spans="1:1" x14ac:dyDescent="0.3">
      <c r="A1" s="11" t="s">
        <v>116</v>
      </c>
    </row>
    <row r="2" spans="1:1" x14ac:dyDescent="0.3">
      <c r="A2" s="11" t="s">
        <v>114</v>
      </c>
    </row>
    <row r="3" spans="1:1" x14ac:dyDescent="0.3">
      <c r="A3" s="11" t="s">
        <v>115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9"/>
  <sheetViews>
    <sheetView workbookViewId="0">
      <selection activeCell="M43" sqref="M43"/>
    </sheetView>
  </sheetViews>
  <sheetFormatPr defaultRowHeight="14.4" x14ac:dyDescent="0.3"/>
  <cols>
    <col min="1" max="1" width="11.5546875" customWidth="1"/>
    <col min="3" max="3" width="12.21875" bestFit="1" customWidth="1"/>
    <col min="4" max="4" width="12.88671875" bestFit="1" customWidth="1"/>
    <col min="8" max="8" width="28.33203125" bestFit="1" customWidth="1"/>
    <col min="9" max="11" width="10.21875" bestFit="1" customWidth="1"/>
    <col min="12" max="13" width="9.88671875" bestFit="1" customWidth="1"/>
  </cols>
  <sheetData>
    <row r="1" spans="1:4" x14ac:dyDescent="0.3">
      <c r="A1" t="s">
        <v>84</v>
      </c>
    </row>
    <row r="2" spans="1:4" x14ac:dyDescent="0.3">
      <c r="A2" t="s">
        <v>119</v>
      </c>
    </row>
    <row r="3" spans="1:4" x14ac:dyDescent="0.3">
      <c r="A3" t="s">
        <v>113</v>
      </c>
      <c r="B3" t="s">
        <v>48</v>
      </c>
      <c r="C3" t="s">
        <v>85</v>
      </c>
    </row>
    <row r="4" spans="1:4" x14ac:dyDescent="0.3">
      <c r="A4" t="s">
        <v>114</v>
      </c>
      <c r="B4">
        <v>1</v>
      </c>
      <c r="C4" s="4">
        <v>999999999</v>
      </c>
      <c r="D4" s="4"/>
    </row>
    <row r="5" spans="1:4" x14ac:dyDescent="0.3">
      <c r="A5" t="s">
        <v>114</v>
      </c>
      <c r="B5">
        <v>2</v>
      </c>
      <c r="C5" s="4">
        <v>70886.243999999992</v>
      </c>
      <c r="D5" s="4"/>
    </row>
    <row r="6" spans="1:4" x14ac:dyDescent="0.3">
      <c r="A6" t="s">
        <v>114</v>
      </c>
      <c r="B6">
        <v>3</v>
      </c>
      <c r="C6" s="4">
        <v>62025.463499999998</v>
      </c>
      <c r="D6" s="4"/>
    </row>
    <row r="7" spans="1:4" x14ac:dyDescent="0.3">
      <c r="A7" t="s">
        <v>114</v>
      </c>
      <c r="B7">
        <v>4</v>
      </c>
      <c r="C7" s="4">
        <v>53164.682999999997</v>
      </c>
      <c r="D7" s="4"/>
    </row>
    <row r="8" spans="1:4" x14ac:dyDescent="0.3">
      <c r="A8" t="s">
        <v>114</v>
      </c>
      <c r="B8">
        <v>5</v>
      </c>
      <c r="C8" s="4">
        <v>47848.214699999997</v>
      </c>
      <c r="D8" s="4"/>
    </row>
    <row r="9" spans="1:4" x14ac:dyDescent="0.3">
      <c r="A9" t="s">
        <v>114</v>
      </c>
      <c r="B9">
        <v>6</v>
      </c>
      <c r="C9" s="4">
        <v>42531.746399999989</v>
      </c>
      <c r="D9" s="4"/>
    </row>
    <row r="10" spans="1:4" x14ac:dyDescent="0.3">
      <c r="A10" t="s">
        <v>114</v>
      </c>
      <c r="B10">
        <v>7</v>
      </c>
      <c r="C10" s="4">
        <v>42531.746399999989</v>
      </c>
      <c r="D10" s="10"/>
    </row>
    <row r="11" spans="1:4" x14ac:dyDescent="0.3">
      <c r="A11" t="s">
        <v>114</v>
      </c>
      <c r="B11">
        <v>8</v>
      </c>
      <c r="C11" s="4">
        <v>42531.746399999989</v>
      </c>
      <c r="D11" s="10"/>
    </row>
    <row r="12" spans="1:4" x14ac:dyDescent="0.3">
      <c r="A12" t="s">
        <v>115</v>
      </c>
      <c r="B12">
        <v>1</v>
      </c>
      <c r="C12" s="4">
        <v>999999999</v>
      </c>
      <c r="D12" s="4"/>
    </row>
    <row r="13" spans="1:4" x14ac:dyDescent="0.3">
      <c r="A13" t="s">
        <v>115</v>
      </c>
      <c r="B13">
        <v>2</v>
      </c>
      <c r="C13" s="4">
        <v>1591750.6090199996</v>
      </c>
      <c r="D13" s="4"/>
    </row>
    <row r="14" spans="1:4" x14ac:dyDescent="0.3">
      <c r="A14" t="s">
        <v>115</v>
      </c>
      <c r="B14">
        <v>3</v>
      </c>
      <c r="C14" s="4">
        <v>1275250.6181843998</v>
      </c>
      <c r="D14" s="4"/>
    </row>
    <row r="15" spans="1:4" x14ac:dyDescent="0.3">
      <c r="A15" t="s">
        <v>115</v>
      </c>
      <c r="B15">
        <v>4</v>
      </c>
      <c r="C15" s="4">
        <v>958750.62734879996</v>
      </c>
      <c r="D15" s="4"/>
    </row>
    <row r="16" spans="1:4" x14ac:dyDescent="0.3">
      <c r="A16" t="s">
        <v>115</v>
      </c>
      <c r="B16">
        <v>5</v>
      </c>
      <c r="C16" s="4">
        <v>851528.09467439994</v>
      </c>
      <c r="D16" s="4"/>
    </row>
    <row r="17" spans="1:4" x14ac:dyDescent="0.3">
      <c r="A17" t="s">
        <v>115</v>
      </c>
      <c r="B17">
        <v>6</v>
      </c>
      <c r="C17" s="4">
        <v>744305.56199999992</v>
      </c>
      <c r="D17" s="4"/>
    </row>
    <row r="18" spans="1:4" x14ac:dyDescent="0.3">
      <c r="A18" t="s">
        <v>115</v>
      </c>
      <c r="B18">
        <v>7</v>
      </c>
      <c r="C18" s="4">
        <v>744305.56199999992</v>
      </c>
      <c r="D18" s="10"/>
    </row>
    <row r="19" spans="1:4" x14ac:dyDescent="0.3">
      <c r="A19" t="s">
        <v>115</v>
      </c>
      <c r="B19">
        <v>8</v>
      </c>
      <c r="C19" s="4">
        <v>744305.56199999992</v>
      </c>
      <c r="D19" s="1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0"/>
  <sheetViews>
    <sheetView workbookViewId="0">
      <selection sqref="A1:XFD1048576"/>
    </sheetView>
  </sheetViews>
  <sheetFormatPr defaultRowHeight="14.4" x14ac:dyDescent="0.3"/>
  <cols>
    <col min="1" max="1" width="12.77734375" customWidth="1"/>
    <col min="3" max="3" width="14.88671875" bestFit="1" customWidth="1"/>
    <col min="11" max="11" width="38.88671875" bestFit="1" customWidth="1"/>
    <col min="12" max="14" width="10.21875" bestFit="1" customWidth="1"/>
    <col min="15" max="16" width="9.88671875" bestFit="1" customWidth="1"/>
  </cols>
  <sheetData>
    <row r="1" spans="1:16" x14ac:dyDescent="0.3">
      <c r="A1" t="s">
        <v>86</v>
      </c>
    </row>
    <row r="2" spans="1:16" x14ac:dyDescent="0.3">
      <c r="A2" t="s">
        <v>87</v>
      </c>
    </row>
    <row r="3" spans="1:16" x14ac:dyDescent="0.3">
      <c r="A3" t="s">
        <v>113</v>
      </c>
      <c r="B3" t="s">
        <v>48</v>
      </c>
      <c r="C3" t="s">
        <v>88</v>
      </c>
    </row>
    <row r="4" spans="1:16" x14ac:dyDescent="0.3">
      <c r="A4" t="s">
        <v>114</v>
      </c>
      <c r="B4">
        <v>1</v>
      </c>
      <c r="C4" s="4">
        <v>999999999</v>
      </c>
    </row>
    <row r="5" spans="1:16" x14ac:dyDescent="0.3">
      <c r="A5" t="s">
        <v>114</v>
      </c>
      <c r="B5">
        <v>2</v>
      </c>
      <c r="C5" s="14">
        <v>1.2999999999999999E-3</v>
      </c>
    </row>
    <row r="6" spans="1:16" x14ac:dyDescent="0.3">
      <c r="A6" t="s">
        <v>114</v>
      </c>
      <c r="B6">
        <v>3</v>
      </c>
      <c r="C6" s="15">
        <v>1.2000000000000001E-3</v>
      </c>
    </row>
    <row r="7" spans="1:16" x14ac:dyDescent="0.3">
      <c r="A7" t="s">
        <v>114</v>
      </c>
      <c r="B7">
        <v>4</v>
      </c>
      <c r="C7" s="14">
        <v>1.1000000000000001E-3</v>
      </c>
      <c r="L7" s="7"/>
      <c r="M7" s="7"/>
      <c r="N7" s="7"/>
      <c r="O7" s="7"/>
      <c r="P7" s="7"/>
    </row>
    <row r="8" spans="1:16" x14ac:dyDescent="0.3">
      <c r="A8" t="s">
        <v>114</v>
      </c>
      <c r="B8">
        <v>5</v>
      </c>
      <c r="C8" s="15">
        <v>1E-3</v>
      </c>
      <c r="L8" s="7"/>
      <c r="M8" s="7"/>
      <c r="N8" s="7"/>
      <c r="O8" s="7"/>
      <c r="P8" s="7"/>
    </row>
    <row r="9" spans="1:16" x14ac:dyDescent="0.3">
      <c r="A9" t="s">
        <v>114</v>
      </c>
      <c r="B9">
        <v>6</v>
      </c>
      <c r="C9" s="14">
        <v>8.9999999999999998E-4</v>
      </c>
      <c r="L9" s="10"/>
    </row>
    <row r="10" spans="1:16" x14ac:dyDescent="0.3">
      <c r="A10" t="s">
        <v>114</v>
      </c>
      <c r="B10">
        <v>7</v>
      </c>
      <c r="C10" s="15">
        <v>8.9999999999999998E-4</v>
      </c>
    </row>
    <row r="11" spans="1:16" x14ac:dyDescent="0.3">
      <c r="A11" t="s">
        <v>114</v>
      </c>
      <c r="B11">
        <v>8</v>
      </c>
      <c r="C11" s="15">
        <v>8.9999999999999998E-4</v>
      </c>
      <c r="L11" s="10"/>
      <c r="M11" s="10"/>
      <c r="N11" s="10"/>
      <c r="O11" s="10"/>
      <c r="P11" s="10"/>
    </row>
    <row r="12" spans="1:16" x14ac:dyDescent="0.3">
      <c r="A12" t="s">
        <v>115</v>
      </c>
      <c r="B12">
        <v>1</v>
      </c>
      <c r="C12" s="4">
        <v>999999999</v>
      </c>
      <c r="L12" s="10"/>
      <c r="M12" s="10"/>
      <c r="N12" s="10"/>
      <c r="O12" s="10"/>
      <c r="P12" s="10"/>
    </row>
    <row r="13" spans="1:16" x14ac:dyDescent="0.3">
      <c r="A13" t="s">
        <v>115</v>
      </c>
      <c r="B13">
        <v>2</v>
      </c>
      <c r="C13" s="4">
        <v>3288.3340966666656</v>
      </c>
    </row>
    <row r="14" spans="1:16" x14ac:dyDescent="0.3">
      <c r="A14" t="s">
        <v>115</v>
      </c>
      <c r="B14">
        <v>3</v>
      </c>
      <c r="C14" s="4">
        <v>3493.8549777083317</v>
      </c>
    </row>
    <row r="15" spans="1:16" x14ac:dyDescent="0.3">
      <c r="A15" t="s">
        <v>115</v>
      </c>
      <c r="B15">
        <v>4</v>
      </c>
      <c r="C15" s="4">
        <v>3699.3758587499983</v>
      </c>
      <c r="L15" s="12"/>
      <c r="M15" s="12"/>
      <c r="N15" s="12"/>
      <c r="O15" s="12"/>
      <c r="P15" s="12"/>
    </row>
    <row r="16" spans="1:16" x14ac:dyDescent="0.3">
      <c r="A16" t="s">
        <v>115</v>
      </c>
      <c r="B16">
        <v>5</v>
      </c>
      <c r="C16" s="4">
        <v>3329.4382728749988</v>
      </c>
      <c r="L16" s="12"/>
      <c r="M16" s="12"/>
      <c r="N16" s="12"/>
      <c r="O16" s="12"/>
      <c r="P16" s="12"/>
    </row>
    <row r="17" spans="1:16" x14ac:dyDescent="0.3">
      <c r="A17" t="s">
        <v>115</v>
      </c>
      <c r="B17">
        <v>6</v>
      </c>
      <c r="C17" s="4">
        <v>2959.5006869999988</v>
      </c>
    </row>
    <row r="18" spans="1:16" x14ac:dyDescent="0.3">
      <c r="A18" t="s">
        <v>115</v>
      </c>
      <c r="B18">
        <v>7</v>
      </c>
      <c r="C18" s="4">
        <v>2959.5006869999988</v>
      </c>
    </row>
    <row r="19" spans="1:16" x14ac:dyDescent="0.3">
      <c r="A19" t="s">
        <v>115</v>
      </c>
      <c r="B19">
        <v>8</v>
      </c>
      <c r="C19" s="4">
        <v>2959.5006869999988</v>
      </c>
      <c r="L19" s="10"/>
      <c r="M19" s="10"/>
      <c r="N19" s="10"/>
      <c r="O19" s="10"/>
      <c r="P19" s="10"/>
    </row>
    <row r="20" spans="1:16" x14ac:dyDescent="0.3">
      <c r="L20" s="13"/>
      <c r="M20" s="13"/>
      <c r="N20" s="13"/>
      <c r="O20" s="13"/>
      <c r="P20" s="1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56"/>
  <sheetViews>
    <sheetView workbookViewId="0">
      <selection activeCell="U16" sqref="U16"/>
    </sheetView>
  </sheetViews>
  <sheetFormatPr defaultRowHeight="14.4" x14ac:dyDescent="0.3"/>
  <cols>
    <col min="3" max="3" width="16.33203125" bestFit="1" customWidth="1"/>
  </cols>
  <sheetData>
    <row r="1" spans="1:3" x14ac:dyDescent="0.3">
      <c r="A1" t="s">
        <v>89</v>
      </c>
    </row>
    <row r="2" spans="1:3" x14ac:dyDescent="0.3">
      <c r="A2" t="s">
        <v>90</v>
      </c>
    </row>
    <row r="3" spans="1:3" x14ac:dyDescent="0.3">
      <c r="A3" t="s">
        <v>91</v>
      </c>
      <c r="B3" t="s">
        <v>113</v>
      </c>
      <c r="C3" t="s">
        <v>92</v>
      </c>
    </row>
    <row r="4" spans="1:3" x14ac:dyDescent="0.3">
      <c r="A4" t="s">
        <v>11</v>
      </c>
      <c r="B4" t="s">
        <v>114</v>
      </c>
      <c r="C4" s="4">
        <v>360000000</v>
      </c>
    </row>
    <row r="5" spans="1:3" x14ac:dyDescent="0.3">
      <c r="A5" t="s">
        <v>12</v>
      </c>
      <c r="B5" t="s">
        <v>114</v>
      </c>
      <c r="C5" s="16">
        <v>252000000</v>
      </c>
    </row>
    <row r="6" spans="1:3" x14ac:dyDescent="0.3">
      <c r="A6" t="s">
        <v>7</v>
      </c>
      <c r="B6" t="s">
        <v>114</v>
      </c>
      <c r="C6" s="4">
        <v>0</v>
      </c>
    </row>
    <row r="7" spans="1:3" x14ac:dyDescent="0.3">
      <c r="A7" t="s">
        <v>17</v>
      </c>
      <c r="B7" t="s">
        <v>114</v>
      </c>
      <c r="C7" s="4">
        <v>228000000</v>
      </c>
    </row>
    <row r="8" spans="1:3" x14ac:dyDescent="0.3">
      <c r="A8" t="s">
        <v>29</v>
      </c>
      <c r="B8" t="s">
        <v>114</v>
      </c>
      <c r="C8" s="4">
        <v>120000000</v>
      </c>
    </row>
    <row r="9" spans="1:3" x14ac:dyDescent="0.3">
      <c r="A9" t="s">
        <v>32</v>
      </c>
      <c r="B9" t="s">
        <v>114</v>
      </c>
      <c r="C9" s="4">
        <v>120000000</v>
      </c>
    </row>
    <row r="10" spans="1:3" x14ac:dyDescent="0.3">
      <c r="A10" t="s">
        <v>27</v>
      </c>
      <c r="B10" t="s">
        <v>114</v>
      </c>
      <c r="C10" s="4">
        <v>252000000</v>
      </c>
    </row>
    <row r="11" spans="1:3" x14ac:dyDescent="0.3">
      <c r="A11" t="s">
        <v>16</v>
      </c>
      <c r="B11" t="s">
        <v>114</v>
      </c>
      <c r="C11" s="4">
        <v>27000000</v>
      </c>
    </row>
    <row r="12" spans="1:3" x14ac:dyDescent="0.3">
      <c r="A12" t="s">
        <v>33</v>
      </c>
      <c r="B12" t="s">
        <v>114</v>
      </c>
      <c r="C12" s="4">
        <v>96000000</v>
      </c>
    </row>
    <row r="13" spans="1:3" x14ac:dyDescent="0.3">
      <c r="A13" t="s">
        <v>21</v>
      </c>
      <c r="B13" t="s">
        <v>114</v>
      </c>
      <c r="C13" s="4">
        <v>0</v>
      </c>
    </row>
    <row r="14" spans="1:3" x14ac:dyDescent="0.3">
      <c r="A14" t="s">
        <v>5</v>
      </c>
      <c r="B14" t="s">
        <v>114</v>
      </c>
      <c r="C14" s="4">
        <v>0</v>
      </c>
    </row>
    <row r="15" spans="1:3" x14ac:dyDescent="0.3">
      <c r="A15" t="s">
        <v>14</v>
      </c>
      <c r="B15" t="s">
        <v>114</v>
      </c>
      <c r="C15" s="4">
        <v>42000000</v>
      </c>
    </row>
    <row r="16" spans="1:3" x14ac:dyDescent="0.3">
      <c r="A16" t="s">
        <v>39</v>
      </c>
      <c r="B16" t="s">
        <v>114</v>
      </c>
      <c r="C16" s="4">
        <v>0</v>
      </c>
    </row>
    <row r="17" spans="1:3" x14ac:dyDescent="0.3">
      <c r="A17" t="s">
        <v>18</v>
      </c>
      <c r="B17" t="s">
        <v>114</v>
      </c>
      <c r="C17" s="4">
        <v>13500000</v>
      </c>
    </row>
    <row r="18" spans="1:3" x14ac:dyDescent="0.3">
      <c r="A18" t="s">
        <v>6</v>
      </c>
      <c r="B18" t="s">
        <v>114</v>
      </c>
      <c r="C18" s="4">
        <v>24000000</v>
      </c>
    </row>
    <row r="19" spans="1:3" x14ac:dyDescent="0.3">
      <c r="A19" s="9" t="s">
        <v>35</v>
      </c>
      <c r="B19" t="s">
        <v>114</v>
      </c>
      <c r="C19" s="4">
        <v>30000000</v>
      </c>
    </row>
    <row r="20" spans="1:3" x14ac:dyDescent="0.3">
      <c r="A20" s="9" t="s">
        <v>34</v>
      </c>
      <c r="B20" t="s">
        <v>114</v>
      </c>
      <c r="C20" s="4">
        <v>0</v>
      </c>
    </row>
    <row r="21" spans="1:3" x14ac:dyDescent="0.3">
      <c r="A21" t="s">
        <v>5</v>
      </c>
      <c r="B21" t="s">
        <v>115</v>
      </c>
      <c r="C21" s="4">
        <v>9999999999</v>
      </c>
    </row>
    <row r="22" spans="1:3" x14ac:dyDescent="0.3">
      <c r="A22" t="s">
        <v>6</v>
      </c>
      <c r="B22" t="s">
        <v>115</v>
      </c>
      <c r="C22" s="4">
        <v>9999999999</v>
      </c>
    </row>
    <row r="23" spans="1:3" x14ac:dyDescent="0.3">
      <c r="A23" t="s">
        <v>7</v>
      </c>
      <c r="B23" t="s">
        <v>115</v>
      </c>
      <c r="C23" s="4">
        <v>9999999999</v>
      </c>
    </row>
    <row r="24" spans="1:3" x14ac:dyDescent="0.3">
      <c r="A24" t="s">
        <v>8</v>
      </c>
      <c r="B24" t="s">
        <v>115</v>
      </c>
      <c r="C24" s="4">
        <v>9999999999</v>
      </c>
    </row>
    <row r="25" spans="1:3" x14ac:dyDescent="0.3">
      <c r="A25" t="s">
        <v>9</v>
      </c>
      <c r="B25" t="s">
        <v>115</v>
      </c>
      <c r="C25" s="4">
        <v>9999999999</v>
      </c>
    </row>
    <row r="26" spans="1:3" x14ac:dyDescent="0.3">
      <c r="A26" t="s">
        <v>10</v>
      </c>
      <c r="B26" t="s">
        <v>115</v>
      </c>
      <c r="C26" s="4">
        <v>9999999999</v>
      </c>
    </row>
    <row r="27" spans="1:3" x14ac:dyDescent="0.3">
      <c r="A27" t="s">
        <v>11</v>
      </c>
      <c r="B27" t="s">
        <v>115</v>
      </c>
      <c r="C27" s="4">
        <v>9999999999</v>
      </c>
    </row>
    <row r="28" spans="1:3" x14ac:dyDescent="0.3">
      <c r="A28" t="s">
        <v>12</v>
      </c>
      <c r="B28" t="s">
        <v>115</v>
      </c>
      <c r="C28" s="4">
        <v>9999999999</v>
      </c>
    </row>
    <row r="29" spans="1:3" x14ac:dyDescent="0.3">
      <c r="A29" t="s">
        <v>13</v>
      </c>
      <c r="B29" t="s">
        <v>115</v>
      </c>
      <c r="C29" s="4">
        <v>9999999999</v>
      </c>
    </row>
    <row r="30" spans="1:3" x14ac:dyDescent="0.3">
      <c r="A30" t="s">
        <v>14</v>
      </c>
      <c r="B30" t="s">
        <v>115</v>
      </c>
      <c r="C30" s="4">
        <v>9999999999</v>
      </c>
    </row>
    <row r="31" spans="1:3" x14ac:dyDescent="0.3">
      <c r="A31" t="s">
        <v>15</v>
      </c>
      <c r="B31" t="s">
        <v>115</v>
      </c>
      <c r="C31" s="4">
        <v>9999999999</v>
      </c>
    </row>
    <row r="32" spans="1:3" x14ac:dyDescent="0.3">
      <c r="A32" t="s">
        <v>16</v>
      </c>
      <c r="B32" t="s">
        <v>115</v>
      </c>
      <c r="C32" s="4">
        <v>9999999999</v>
      </c>
    </row>
    <row r="33" spans="1:3" x14ac:dyDescent="0.3">
      <c r="A33" t="s">
        <v>17</v>
      </c>
      <c r="B33" t="s">
        <v>115</v>
      </c>
      <c r="C33" s="4">
        <v>9999999999</v>
      </c>
    </row>
    <row r="34" spans="1:3" x14ac:dyDescent="0.3">
      <c r="A34" t="s">
        <v>18</v>
      </c>
      <c r="B34" t="s">
        <v>115</v>
      </c>
      <c r="C34" s="4">
        <v>9999999999</v>
      </c>
    </row>
    <row r="35" spans="1:3" x14ac:dyDescent="0.3">
      <c r="A35" t="s">
        <v>19</v>
      </c>
      <c r="B35" t="s">
        <v>115</v>
      </c>
      <c r="C35" s="4">
        <v>9999999999</v>
      </c>
    </row>
    <row r="36" spans="1:3" x14ac:dyDescent="0.3">
      <c r="A36" t="s">
        <v>20</v>
      </c>
      <c r="B36" t="s">
        <v>115</v>
      </c>
      <c r="C36" s="4">
        <v>9999999999</v>
      </c>
    </row>
    <row r="37" spans="1:3" x14ac:dyDescent="0.3">
      <c r="A37" t="s">
        <v>21</v>
      </c>
      <c r="B37" t="s">
        <v>115</v>
      </c>
      <c r="C37" s="4">
        <v>9999999999</v>
      </c>
    </row>
    <row r="38" spans="1:3" x14ac:dyDescent="0.3">
      <c r="A38" t="s">
        <v>22</v>
      </c>
      <c r="B38" t="s">
        <v>115</v>
      </c>
      <c r="C38" s="4">
        <v>9999999999</v>
      </c>
    </row>
    <row r="39" spans="1:3" x14ac:dyDescent="0.3">
      <c r="A39" t="s">
        <v>23</v>
      </c>
      <c r="B39" t="s">
        <v>115</v>
      </c>
      <c r="C39" s="4">
        <v>9999999999</v>
      </c>
    </row>
    <row r="40" spans="1:3" x14ac:dyDescent="0.3">
      <c r="A40" t="s">
        <v>24</v>
      </c>
      <c r="B40" t="s">
        <v>115</v>
      </c>
      <c r="C40" s="4">
        <v>9999999999</v>
      </c>
    </row>
    <row r="41" spans="1:3" x14ac:dyDescent="0.3">
      <c r="A41" t="s">
        <v>25</v>
      </c>
      <c r="B41" t="s">
        <v>115</v>
      </c>
      <c r="C41" s="4">
        <v>9999999999</v>
      </c>
    </row>
    <row r="42" spans="1:3" x14ac:dyDescent="0.3">
      <c r="A42" t="s">
        <v>26</v>
      </c>
      <c r="B42" t="s">
        <v>115</v>
      </c>
      <c r="C42" s="4">
        <v>9999999999</v>
      </c>
    </row>
    <row r="43" spans="1:3" x14ac:dyDescent="0.3">
      <c r="A43" t="s">
        <v>27</v>
      </c>
      <c r="B43" t="s">
        <v>115</v>
      </c>
      <c r="C43" s="4">
        <v>9999999999</v>
      </c>
    </row>
    <row r="44" spans="1:3" x14ac:dyDescent="0.3">
      <c r="A44" t="s">
        <v>28</v>
      </c>
      <c r="B44" t="s">
        <v>115</v>
      </c>
      <c r="C44" s="4">
        <v>9999999999</v>
      </c>
    </row>
    <row r="45" spans="1:3" x14ac:dyDescent="0.3">
      <c r="A45" t="s">
        <v>29</v>
      </c>
      <c r="B45" t="s">
        <v>115</v>
      </c>
      <c r="C45" s="4">
        <v>9999999999</v>
      </c>
    </row>
    <row r="46" spans="1:3" x14ac:dyDescent="0.3">
      <c r="A46" t="s">
        <v>30</v>
      </c>
      <c r="B46" t="s">
        <v>115</v>
      </c>
      <c r="C46" s="4">
        <v>9999999999</v>
      </c>
    </row>
    <row r="47" spans="1:3" x14ac:dyDescent="0.3">
      <c r="A47" t="s">
        <v>31</v>
      </c>
      <c r="B47" t="s">
        <v>115</v>
      </c>
      <c r="C47" s="4">
        <v>9999999999</v>
      </c>
    </row>
    <row r="48" spans="1:3" x14ac:dyDescent="0.3">
      <c r="A48" t="s">
        <v>32</v>
      </c>
      <c r="B48" t="s">
        <v>115</v>
      </c>
      <c r="C48" s="4">
        <v>9999999999</v>
      </c>
    </row>
    <row r="49" spans="1:3" x14ac:dyDescent="0.3">
      <c r="A49" t="s">
        <v>33</v>
      </c>
      <c r="B49" t="s">
        <v>115</v>
      </c>
      <c r="C49" s="4">
        <v>9999999999</v>
      </c>
    </row>
    <row r="50" spans="1:3" x14ac:dyDescent="0.3">
      <c r="A50" t="s">
        <v>34</v>
      </c>
      <c r="B50" t="s">
        <v>115</v>
      </c>
      <c r="C50" s="4">
        <v>9999999999</v>
      </c>
    </row>
    <row r="51" spans="1:3" x14ac:dyDescent="0.3">
      <c r="A51" t="s">
        <v>35</v>
      </c>
      <c r="B51" t="s">
        <v>115</v>
      </c>
      <c r="C51" s="4">
        <v>9999999999</v>
      </c>
    </row>
    <row r="52" spans="1:3" x14ac:dyDescent="0.3">
      <c r="A52" t="s">
        <v>36</v>
      </c>
      <c r="B52" t="s">
        <v>115</v>
      </c>
      <c r="C52" s="4">
        <v>9999999999</v>
      </c>
    </row>
    <row r="53" spans="1:3" x14ac:dyDescent="0.3">
      <c r="A53" t="s">
        <v>37</v>
      </c>
      <c r="B53" t="s">
        <v>115</v>
      </c>
      <c r="C53" s="4">
        <v>9999999999</v>
      </c>
    </row>
    <row r="54" spans="1:3" x14ac:dyDescent="0.3">
      <c r="A54" t="s">
        <v>38</v>
      </c>
      <c r="B54" t="s">
        <v>115</v>
      </c>
      <c r="C54" s="4">
        <v>9999999999</v>
      </c>
    </row>
    <row r="55" spans="1:3" x14ac:dyDescent="0.3">
      <c r="A55" t="s">
        <v>39</v>
      </c>
      <c r="B55" t="s">
        <v>115</v>
      </c>
      <c r="C55" s="4">
        <v>9999999999</v>
      </c>
    </row>
    <row r="56" spans="1:3" x14ac:dyDescent="0.3">
      <c r="A56" t="s">
        <v>95</v>
      </c>
      <c r="B56" t="s">
        <v>115</v>
      </c>
      <c r="C56" s="4">
        <v>9999999999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593C-F0C0-471F-BE02-7E89DF157264}">
  <dimension ref="A1:M36"/>
  <sheetViews>
    <sheetView workbookViewId="0">
      <selection activeCell="B5" sqref="B5"/>
    </sheetView>
  </sheetViews>
  <sheetFormatPr defaultRowHeight="14.4" x14ac:dyDescent="0.3"/>
  <cols>
    <col min="1" max="1" width="11.5546875" customWidth="1"/>
    <col min="3" max="3" width="11.33203125" bestFit="1" customWidth="1"/>
    <col min="8" max="8" width="28.33203125" bestFit="1" customWidth="1"/>
    <col min="9" max="11" width="10.21875" bestFit="1" customWidth="1"/>
    <col min="12" max="13" width="9.88671875" bestFit="1" customWidth="1"/>
  </cols>
  <sheetData>
    <row r="1" spans="1:3" x14ac:dyDescent="0.3">
      <c r="A1" t="s">
        <v>84</v>
      </c>
    </row>
    <row r="2" spans="1:3" x14ac:dyDescent="0.3">
      <c r="A2" t="s">
        <v>117</v>
      </c>
    </row>
    <row r="3" spans="1:3" x14ac:dyDescent="0.3">
      <c r="A3" t="s">
        <v>113</v>
      </c>
      <c r="B3" t="s">
        <v>118</v>
      </c>
    </row>
    <row r="4" spans="1:3" x14ac:dyDescent="0.3">
      <c r="A4" t="s">
        <v>114</v>
      </c>
      <c r="B4">
        <v>100</v>
      </c>
      <c r="C4" s="4"/>
    </row>
    <row r="5" spans="1:3" x14ac:dyDescent="0.3">
      <c r="A5" t="s">
        <v>115</v>
      </c>
      <c r="B5">
        <v>30</v>
      </c>
      <c r="C5" s="4"/>
    </row>
    <row r="6" spans="1:3" x14ac:dyDescent="0.3">
      <c r="C6" s="4"/>
    </row>
    <row r="7" spans="1:3" x14ac:dyDescent="0.3">
      <c r="C7" s="4"/>
    </row>
    <row r="8" spans="1:3" x14ac:dyDescent="0.3">
      <c r="C8" s="4"/>
    </row>
    <row r="9" spans="1:3" x14ac:dyDescent="0.3">
      <c r="C9" s="4"/>
    </row>
    <row r="10" spans="1:3" x14ac:dyDescent="0.3">
      <c r="C10" s="4"/>
    </row>
    <row r="11" spans="1:3" x14ac:dyDescent="0.3">
      <c r="C11" s="4"/>
    </row>
    <row r="12" spans="1:3" x14ac:dyDescent="0.3">
      <c r="C12" s="4"/>
    </row>
    <row r="13" spans="1:3" x14ac:dyDescent="0.3">
      <c r="C13" s="4"/>
    </row>
    <row r="14" spans="1:3" x14ac:dyDescent="0.3">
      <c r="C14" s="4"/>
    </row>
    <row r="15" spans="1:3" x14ac:dyDescent="0.3">
      <c r="C15" s="4"/>
    </row>
    <row r="16" spans="1:3" x14ac:dyDescent="0.3">
      <c r="C16" s="4"/>
    </row>
    <row r="17" spans="3:13" x14ac:dyDescent="0.3">
      <c r="C17" s="4"/>
    </row>
    <row r="18" spans="3:13" x14ac:dyDescent="0.3">
      <c r="C18" s="4"/>
    </row>
    <row r="19" spans="3:13" x14ac:dyDescent="0.3">
      <c r="C19" s="4"/>
    </row>
    <row r="24" spans="3:13" x14ac:dyDescent="0.3">
      <c r="I24" s="7"/>
      <c r="J24" s="7"/>
      <c r="K24" s="7"/>
      <c r="L24" s="7"/>
      <c r="M24" s="7"/>
    </row>
    <row r="25" spans="3:13" x14ac:dyDescent="0.3">
      <c r="I25" s="7"/>
      <c r="J25" s="7"/>
      <c r="K25" s="7"/>
      <c r="L25" s="7"/>
      <c r="M25" s="7"/>
    </row>
    <row r="28" spans="3:13" x14ac:dyDescent="0.3">
      <c r="I28" s="10"/>
      <c r="J28" s="10"/>
      <c r="K28" s="10"/>
      <c r="L28" s="10"/>
      <c r="M28" s="10"/>
    </row>
    <row r="32" spans="3:13" x14ac:dyDescent="0.3">
      <c r="I32" s="12"/>
      <c r="J32" s="12"/>
      <c r="K32" s="12"/>
      <c r="L32" s="12"/>
      <c r="M32" s="12"/>
    </row>
    <row r="33" spans="9:13" x14ac:dyDescent="0.3">
      <c r="I33" s="12"/>
      <c r="J33" s="12"/>
      <c r="K33" s="12"/>
      <c r="L33" s="12"/>
      <c r="M33" s="12"/>
    </row>
    <row r="35" spans="9:13" x14ac:dyDescent="0.3">
      <c r="I35" s="10"/>
      <c r="J35" s="10"/>
      <c r="K35" s="10"/>
      <c r="L35" s="10"/>
      <c r="M35" s="10"/>
    </row>
    <row r="36" spans="9:13" x14ac:dyDescent="0.3">
      <c r="I36" s="8"/>
      <c r="J36" s="8"/>
      <c r="K36" s="8"/>
      <c r="L36" s="8"/>
      <c r="M36" s="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B0CF-F32B-41B9-AE38-EEDF7351D310}">
  <dimension ref="A1:A3"/>
  <sheetViews>
    <sheetView tabSelected="1" workbookViewId="0">
      <selection activeCell="F49" sqref="F49"/>
    </sheetView>
  </sheetViews>
  <sheetFormatPr defaultRowHeight="14.4" x14ac:dyDescent="0.3"/>
  <cols>
    <col min="1" max="1" width="20.88671875" customWidth="1"/>
  </cols>
  <sheetData>
    <row r="1" spans="1:1" x14ac:dyDescent="0.3">
      <c r="A1" t="s">
        <v>102</v>
      </c>
    </row>
    <row r="2" spans="1:1" x14ac:dyDescent="0.3">
      <c r="A2" t="s">
        <v>97</v>
      </c>
    </row>
    <row r="3" spans="1:1" x14ac:dyDescent="0.3">
      <c r="A3" t="s">
        <v>101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DE3C4-3DCA-488F-8170-12D57116C810}">
  <dimension ref="A1:A16"/>
  <sheetViews>
    <sheetView tabSelected="1" workbookViewId="0">
      <selection activeCell="F49" sqref="F49"/>
    </sheetView>
  </sheetViews>
  <sheetFormatPr defaultRowHeight="14.4" x14ac:dyDescent="0.3"/>
  <sheetData>
    <row r="1" spans="1:1" x14ac:dyDescent="0.3">
      <c r="A1" t="s">
        <v>110</v>
      </c>
    </row>
    <row r="2" spans="1:1" x14ac:dyDescent="0.3">
      <c r="A2" t="s">
        <v>14</v>
      </c>
    </row>
    <row r="3" spans="1:1" x14ac:dyDescent="0.3">
      <c r="A3" t="s">
        <v>22</v>
      </c>
    </row>
    <row r="4" spans="1:1" x14ac:dyDescent="0.3">
      <c r="A4" t="s">
        <v>27</v>
      </c>
    </row>
    <row r="5" spans="1:1" x14ac:dyDescent="0.3">
      <c r="A5" t="s">
        <v>7</v>
      </c>
    </row>
    <row r="6" spans="1:1" x14ac:dyDescent="0.3">
      <c r="A6" t="s">
        <v>19</v>
      </c>
    </row>
    <row r="7" spans="1:1" x14ac:dyDescent="0.3">
      <c r="A7" t="s">
        <v>13</v>
      </c>
    </row>
    <row r="8" spans="1:1" x14ac:dyDescent="0.3">
      <c r="A8" t="s">
        <v>16</v>
      </c>
    </row>
    <row r="9" spans="1:1" x14ac:dyDescent="0.3">
      <c r="A9" t="s">
        <v>11</v>
      </c>
    </row>
    <row r="10" spans="1:1" x14ac:dyDescent="0.3">
      <c r="A10" t="s">
        <v>17</v>
      </c>
    </row>
    <row r="11" spans="1:1" x14ac:dyDescent="0.3">
      <c r="A11" t="s">
        <v>18</v>
      </c>
    </row>
    <row r="12" spans="1:1" x14ac:dyDescent="0.3">
      <c r="A12" t="s">
        <v>21</v>
      </c>
    </row>
    <row r="13" spans="1:1" x14ac:dyDescent="0.3">
      <c r="A13" t="s">
        <v>23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3A47-E11B-4ECE-979A-20AE4F3B7FB0}">
  <dimension ref="A1:B37"/>
  <sheetViews>
    <sheetView tabSelected="1" workbookViewId="0">
      <selection activeCell="F49" sqref="F49"/>
    </sheetView>
  </sheetViews>
  <sheetFormatPr defaultRowHeight="14.4" x14ac:dyDescent="0.3"/>
  <cols>
    <col min="1" max="1" width="18.6640625" customWidth="1"/>
    <col min="2" max="2" width="16.88671875" bestFit="1" customWidth="1"/>
  </cols>
  <sheetData>
    <row r="1" spans="1:2" x14ac:dyDescent="0.3">
      <c r="A1" s="3" t="s">
        <v>103</v>
      </c>
    </row>
    <row r="2" spans="1:2" x14ac:dyDescent="0.3">
      <c r="A2" s="3" t="s">
        <v>104</v>
      </c>
    </row>
    <row r="3" spans="1:2" x14ac:dyDescent="0.3">
      <c r="A3" t="s">
        <v>110</v>
      </c>
      <c r="B3" t="s">
        <v>102</v>
      </c>
    </row>
    <row r="4" spans="1:2" x14ac:dyDescent="0.3">
      <c r="A4" t="s">
        <v>14</v>
      </c>
      <c r="B4" t="s">
        <v>97</v>
      </c>
    </row>
    <row r="5" spans="1:2" x14ac:dyDescent="0.3">
      <c r="A5" t="s">
        <v>22</v>
      </c>
      <c r="B5" t="s">
        <v>97</v>
      </c>
    </row>
    <row r="6" spans="1:2" x14ac:dyDescent="0.3">
      <c r="A6" t="s">
        <v>27</v>
      </c>
      <c r="B6" t="s">
        <v>101</v>
      </c>
    </row>
    <row r="7" spans="1:2" x14ac:dyDescent="0.3">
      <c r="A7" t="s">
        <v>7</v>
      </c>
      <c r="B7" t="s">
        <v>101</v>
      </c>
    </row>
    <row r="8" spans="1:2" x14ac:dyDescent="0.3">
      <c r="A8" t="s">
        <v>19</v>
      </c>
      <c r="B8" t="s">
        <v>101</v>
      </c>
    </row>
    <row r="9" spans="1:2" x14ac:dyDescent="0.3">
      <c r="A9" t="s">
        <v>13</v>
      </c>
      <c r="B9" t="s">
        <v>101</v>
      </c>
    </row>
    <row r="10" spans="1:2" x14ac:dyDescent="0.3">
      <c r="A10" t="s">
        <v>16</v>
      </c>
      <c r="B10" t="s">
        <v>101</v>
      </c>
    </row>
    <row r="11" spans="1:2" x14ac:dyDescent="0.3">
      <c r="A11" t="s">
        <v>11</v>
      </c>
      <c r="B11" t="s">
        <v>101</v>
      </c>
    </row>
    <row r="12" spans="1:2" x14ac:dyDescent="0.3">
      <c r="A12" t="s">
        <v>17</v>
      </c>
      <c r="B12" t="s">
        <v>101</v>
      </c>
    </row>
    <row r="13" spans="1:2" x14ac:dyDescent="0.3">
      <c r="A13" t="s">
        <v>18</v>
      </c>
      <c r="B13" t="s">
        <v>101</v>
      </c>
    </row>
    <row r="14" spans="1:2" x14ac:dyDescent="0.3">
      <c r="A14" t="s">
        <v>21</v>
      </c>
      <c r="B14" t="s">
        <v>101</v>
      </c>
    </row>
    <row r="15" spans="1:2" x14ac:dyDescent="0.3">
      <c r="A15" t="s">
        <v>23</v>
      </c>
      <c r="B15" t="s">
        <v>101</v>
      </c>
    </row>
    <row r="16" spans="1:2" x14ac:dyDescent="0.3">
      <c r="A16" t="s">
        <v>33</v>
      </c>
      <c r="B16" t="s">
        <v>101</v>
      </c>
    </row>
    <row r="17" spans="1:2" x14ac:dyDescent="0.3">
      <c r="A17" t="s">
        <v>34</v>
      </c>
      <c r="B17" t="s">
        <v>101</v>
      </c>
    </row>
    <row r="18" spans="1:2" x14ac:dyDescent="0.3">
      <c r="A18" t="s">
        <v>35</v>
      </c>
      <c r="B18" t="s">
        <v>101</v>
      </c>
    </row>
    <row r="19" spans="1:2" x14ac:dyDescent="0.3">
      <c r="A19" t="s">
        <v>14</v>
      </c>
      <c r="B19" t="s">
        <v>101</v>
      </c>
    </row>
    <row r="20" spans="1:2" x14ac:dyDescent="0.3">
      <c r="A20" t="s">
        <v>22</v>
      </c>
      <c r="B20" t="s">
        <v>101</v>
      </c>
    </row>
    <row r="22" spans="1:2" x14ac:dyDescent="0.3">
      <c r="B22" s="3"/>
    </row>
    <row r="23" spans="1:2" x14ac:dyDescent="0.3">
      <c r="B23" s="3"/>
    </row>
    <row r="24" spans="1:2" x14ac:dyDescent="0.3">
      <c r="B24" s="3"/>
    </row>
    <row r="25" spans="1:2" x14ac:dyDescent="0.3">
      <c r="B25" s="3"/>
    </row>
    <row r="26" spans="1:2" x14ac:dyDescent="0.3">
      <c r="B26" s="3"/>
    </row>
    <row r="27" spans="1:2" x14ac:dyDescent="0.3">
      <c r="B27" s="3"/>
    </row>
    <row r="28" spans="1:2" x14ac:dyDescent="0.3">
      <c r="B28" s="3"/>
    </row>
    <row r="29" spans="1:2" x14ac:dyDescent="0.3">
      <c r="B29" s="3"/>
    </row>
    <row r="30" spans="1:2" x14ac:dyDescent="0.3">
      <c r="B30" s="3"/>
    </row>
    <row r="31" spans="1:2" x14ac:dyDescent="0.3">
      <c r="B31" s="3"/>
    </row>
    <row r="32" spans="1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6358-A418-4CE8-8900-C5D5CF1F302C}">
  <dimension ref="A1:D129"/>
  <sheetViews>
    <sheetView tabSelected="1" zoomScaleNormal="100" workbookViewId="0">
      <selection activeCell="F49" sqref="F49"/>
    </sheetView>
  </sheetViews>
  <sheetFormatPr defaultRowHeight="14.4" x14ac:dyDescent="0.3"/>
  <cols>
    <col min="1" max="1" width="20.77734375" customWidth="1"/>
    <col min="2" max="2" width="17.88671875" bestFit="1" customWidth="1"/>
    <col min="3" max="3" width="7.6640625" bestFit="1" customWidth="1"/>
    <col min="4" max="4" width="14.77734375" bestFit="1" customWidth="1"/>
  </cols>
  <sheetData>
    <row r="1" spans="1:4" x14ac:dyDescent="0.3">
      <c r="A1" t="s">
        <v>99</v>
      </c>
    </row>
    <row r="2" spans="1:4" x14ac:dyDescent="0.3">
      <c r="A2" t="s">
        <v>105</v>
      </c>
    </row>
    <row r="3" spans="1:4" x14ac:dyDescent="0.3">
      <c r="A3" t="s">
        <v>110</v>
      </c>
      <c r="B3" t="s">
        <v>102</v>
      </c>
      <c r="C3" t="s">
        <v>48</v>
      </c>
      <c r="D3" t="s">
        <v>112</v>
      </c>
    </row>
    <row r="4" spans="1:4" x14ac:dyDescent="0.3">
      <c r="A4" t="s">
        <v>14</v>
      </c>
      <c r="B4" t="s">
        <v>97</v>
      </c>
      <c r="C4">
        <v>1</v>
      </c>
      <c r="D4" s="7">
        <v>999999</v>
      </c>
    </row>
    <row r="5" spans="1:4" x14ac:dyDescent="0.3">
      <c r="A5" t="s">
        <v>14</v>
      </c>
      <c r="B5" t="s">
        <v>97</v>
      </c>
      <c r="C5">
        <v>2</v>
      </c>
      <c r="D5" s="7">
        <v>2.2238080477634119</v>
      </c>
    </row>
    <row r="6" spans="1:4" x14ac:dyDescent="0.3">
      <c r="A6" t="s">
        <v>14</v>
      </c>
      <c r="B6" t="s">
        <v>97</v>
      </c>
      <c r="C6">
        <v>3</v>
      </c>
      <c r="D6" s="7">
        <v>1.9610573387536396</v>
      </c>
    </row>
    <row r="7" spans="1:4" x14ac:dyDescent="0.3">
      <c r="A7" t="s">
        <v>14</v>
      </c>
      <c r="B7" t="s">
        <v>97</v>
      </c>
      <c r="C7">
        <v>4</v>
      </c>
      <c r="D7" s="7">
        <v>1.6983066297438678</v>
      </c>
    </row>
    <row r="8" spans="1:4" x14ac:dyDescent="0.3">
      <c r="A8" t="s">
        <v>14</v>
      </c>
      <c r="B8" t="s">
        <v>97</v>
      </c>
      <c r="C8">
        <v>5</v>
      </c>
      <c r="D8" s="7">
        <v>1.558055920734096</v>
      </c>
    </row>
    <row r="9" spans="1:4" x14ac:dyDescent="0.3">
      <c r="A9" t="s">
        <v>14</v>
      </c>
      <c r="B9" t="s">
        <v>97</v>
      </c>
      <c r="C9">
        <v>6</v>
      </c>
      <c r="D9" s="7">
        <v>1.4178052117243241</v>
      </c>
    </row>
    <row r="10" spans="1:4" x14ac:dyDescent="0.3">
      <c r="A10" t="s">
        <v>14</v>
      </c>
      <c r="B10" t="s">
        <v>97</v>
      </c>
      <c r="C10">
        <v>7</v>
      </c>
      <c r="D10" s="7">
        <v>1.2775545027145521</v>
      </c>
    </row>
    <row r="11" spans="1:4" x14ac:dyDescent="0.3">
      <c r="A11" t="s">
        <v>22</v>
      </c>
      <c r="B11" t="s">
        <v>97</v>
      </c>
      <c r="C11">
        <v>1</v>
      </c>
      <c r="D11" s="7">
        <v>999999</v>
      </c>
    </row>
    <row r="12" spans="1:4" x14ac:dyDescent="0.3">
      <c r="A12" t="s">
        <v>22</v>
      </c>
      <c r="B12" t="s">
        <v>97</v>
      </c>
      <c r="C12">
        <v>2</v>
      </c>
      <c r="D12" s="7">
        <v>2.2238080477634119</v>
      </c>
    </row>
    <row r="13" spans="1:4" x14ac:dyDescent="0.3">
      <c r="A13" t="s">
        <v>22</v>
      </c>
      <c r="B13" t="s">
        <v>97</v>
      </c>
      <c r="C13">
        <v>3</v>
      </c>
      <c r="D13" s="7">
        <v>1.9610573387536396</v>
      </c>
    </row>
    <row r="14" spans="1:4" x14ac:dyDescent="0.3">
      <c r="A14" t="s">
        <v>22</v>
      </c>
      <c r="B14" t="s">
        <v>97</v>
      </c>
      <c r="C14">
        <v>4</v>
      </c>
      <c r="D14" s="7">
        <v>1.6983066297438678</v>
      </c>
    </row>
    <row r="15" spans="1:4" x14ac:dyDescent="0.3">
      <c r="A15" t="s">
        <v>22</v>
      </c>
      <c r="B15" t="s">
        <v>97</v>
      </c>
      <c r="C15">
        <v>5</v>
      </c>
      <c r="D15" s="7">
        <v>1.558055920734096</v>
      </c>
    </row>
    <row r="16" spans="1:4" x14ac:dyDescent="0.3">
      <c r="A16" t="s">
        <v>22</v>
      </c>
      <c r="B16" t="s">
        <v>97</v>
      </c>
      <c r="C16">
        <v>6</v>
      </c>
      <c r="D16" s="7">
        <v>1.4178052117243241</v>
      </c>
    </row>
    <row r="17" spans="1:4" x14ac:dyDescent="0.3">
      <c r="A17" t="s">
        <v>22</v>
      </c>
      <c r="B17" t="s">
        <v>97</v>
      </c>
      <c r="C17">
        <v>7</v>
      </c>
      <c r="D17" s="7">
        <v>1.2775545027145521</v>
      </c>
    </row>
    <row r="18" spans="1:4" x14ac:dyDescent="0.3">
      <c r="A18" t="s">
        <v>18</v>
      </c>
      <c r="B18" t="s">
        <v>97</v>
      </c>
      <c r="C18">
        <v>1</v>
      </c>
      <c r="D18" s="7">
        <v>999999</v>
      </c>
    </row>
    <row r="19" spans="1:4" x14ac:dyDescent="0.3">
      <c r="A19" t="s">
        <v>18</v>
      </c>
      <c r="B19" t="s">
        <v>97</v>
      </c>
      <c r="C19">
        <v>2</v>
      </c>
      <c r="D19" s="7">
        <v>2.3111133119042959</v>
      </c>
    </row>
    <row r="20" spans="1:4" x14ac:dyDescent="0.3">
      <c r="A20" t="s">
        <v>18</v>
      </c>
      <c r="B20" t="s">
        <v>97</v>
      </c>
      <c r="C20">
        <v>3</v>
      </c>
      <c r="D20" s="7">
        <v>2.0445479734507828</v>
      </c>
    </row>
    <row r="21" spans="1:4" x14ac:dyDescent="0.3">
      <c r="A21" t="s">
        <v>18</v>
      </c>
      <c r="B21" t="s">
        <v>97</v>
      </c>
      <c r="C21">
        <v>4</v>
      </c>
      <c r="D21" s="7">
        <v>1.7779826349972701</v>
      </c>
    </row>
    <row r="22" spans="1:4" x14ac:dyDescent="0.3">
      <c r="A22" t="s">
        <v>18</v>
      </c>
      <c r="B22" t="s">
        <v>97</v>
      </c>
      <c r="C22">
        <v>5</v>
      </c>
      <c r="D22" s="7">
        <v>1.6364172965437569</v>
      </c>
    </row>
    <row r="23" spans="1:4" x14ac:dyDescent="0.3">
      <c r="A23" t="s">
        <v>18</v>
      </c>
      <c r="B23" t="s">
        <v>97</v>
      </c>
      <c r="C23">
        <v>6</v>
      </c>
      <c r="D23" s="7">
        <v>1.4948519580902442</v>
      </c>
    </row>
    <row r="24" spans="1:4" x14ac:dyDescent="0.3">
      <c r="A24" t="s">
        <v>18</v>
      </c>
      <c r="B24" t="s">
        <v>97</v>
      </c>
      <c r="C24">
        <v>7</v>
      </c>
      <c r="D24" s="7">
        <v>1.353286619636731</v>
      </c>
    </row>
    <row r="25" spans="1:4" x14ac:dyDescent="0.3">
      <c r="A25" t="s">
        <v>7</v>
      </c>
      <c r="B25" t="s">
        <v>101</v>
      </c>
      <c r="C25">
        <v>1</v>
      </c>
      <c r="D25" s="7">
        <v>999999</v>
      </c>
    </row>
    <row r="26" spans="1:4" x14ac:dyDescent="0.3">
      <c r="A26" t="s">
        <v>7</v>
      </c>
      <c r="B26" t="s">
        <v>101</v>
      </c>
      <c r="C26">
        <v>2</v>
      </c>
      <c r="D26" s="7">
        <v>2.5174637035348817</v>
      </c>
    </row>
    <row r="27" spans="1:4" x14ac:dyDescent="0.3">
      <c r="A27" t="s">
        <v>7</v>
      </c>
      <c r="B27" t="s">
        <v>101</v>
      </c>
      <c r="C27">
        <v>3</v>
      </c>
      <c r="D27" s="7">
        <v>2.3662137035348816</v>
      </c>
    </row>
    <row r="28" spans="1:4" x14ac:dyDescent="0.3">
      <c r="A28" t="s">
        <v>7</v>
      </c>
      <c r="B28" t="s">
        <v>101</v>
      </c>
      <c r="C28">
        <v>4</v>
      </c>
      <c r="D28" s="7">
        <v>2.2149637035348815</v>
      </c>
    </row>
    <row r="29" spans="1:4" x14ac:dyDescent="0.3">
      <c r="A29" t="s">
        <v>7</v>
      </c>
      <c r="B29" t="s">
        <v>101</v>
      </c>
      <c r="C29">
        <v>5</v>
      </c>
      <c r="D29" s="7">
        <v>2.0637137035348818</v>
      </c>
    </row>
    <row r="30" spans="1:4" x14ac:dyDescent="0.3">
      <c r="A30" t="s">
        <v>7</v>
      </c>
      <c r="B30" t="s">
        <v>101</v>
      </c>
      <c r="C30">
        <v>6</v>
      </c>
      <c r="D30" s="7">
        <v>1.9124637035348819</v>
      </c>
    </row>
    <row r="31" spans="1:4" x14ac:dyDescent="0.3">
      <c r="A31" t="s">
        <v>7</v>
      </c>
      <c r="B31" t="s">
        <v>101</v>
      </c>
      <c r="C31">
        <v>7</v>
      </c>
      <c r="D31" s="7">
        <v>1.7612137035348823</v>
      </c>
    </row>
    <row r="32" spans="1:4" x14ac:dyDescent="0.3">
      <c r="A32" t="s">
        <v>19</v>
      </c>
      <c r="B32" t="s">
        <v>101</v>
      </c>
      <c r="C32">
        <f>C25</f>
        <v>1</v>
      </c>
      <c r="D32" s="7">
        <v>999999</v>
      </c>
    </row>
    <row r="33" spans="1:4" x14ac:dyDescent="0.3">
      <c r="A33" t="s">
        <v>19</v>
      </c>
      <c r="B33" t="s">
        <v>101</v>
      </c>
      <c r="C33">
        <f t="shared" ref="C33:C96" si="0">C26</f>
        <v>2</v>
      </c>
      <c r="D33" s="7">
        <v>2.5174637035348817</v>
      </c>
    </row>
    <row r="34" spans="1:4" x14ac:dyDescent="0.3">
      <c r="A34" t="s">
        <v>19</v>
      </c>
      <c r="B34" t="s">
        <v>101</v>
      </c>
      <c r="C34">
        <f t="shared" si="0"/>
        <v>3</v>
      </c>
      <c r="D34" s="7">
        <v>2.3662137035348816</v>
      </c>
    </row>
    <row r="35" spans="1:4" x14ac:dyDescent="0.3">
      <c r="A35" t="s">
        <v>19</v>
      </c>
      <c r="B35" t="s">
        <v>101</v>
      </c>
      <c r="C35">
        <f t="shared" si="0"/>
        <v>4</v>
      </c>
      <c r="D35" s="7">
        <v>2.2149637035348815</v>
      </c>
    </row>
    <row r="36" spans="1:4" x14ac:dyDescent="0.3">
      <c r="A36" t="s">
        <v>19</v>
      </c>
      <c r="B36" t="s">
        <v>101</v>
      </c>
      <c r="C36">
        <f t="shared" si="0"/>
        <v>5</v>
      </c>
      <c r="D36" s="7">
        <v>2.0637137035348818</v>
      </c>
    </row>
    <row r="37" spans="1:4" x14ac:dyDescent="0.3">
      <c r="A37" t="s">
        <v>19</v>
      </c>
      <c r="B37" t="s">
        <v>101</v>
      </c>
      <c r="C37">
        <f t="shared" si="0"/>
        <v>6</v>
      </c>
      <c r="D37" s="7">
        <v>1.9124637035348819</v>
      </c>
    </row>
    <row r="38" spans="1:4" x14ac:dyDescent="0.3">
      <c r="A38" t="s">
        <v>19</v>
      </c>
      <c r="B38" t="s">
        <v>101</v>
      </c>
      <c r="C38">
        <f t="shared" si="0"/>
        <v>7</v>
      </c>
      <c r="D38" s="7">
        <v>1.7612137035348823</v>
      </c>
    </row>
    <row r="39" spans="1:4" x14ac:dyDescent="0.3">
      <c r="A39" t="s">
        <v>13</v>
      </c>
      <c r="B39" t="s">
        <v>101</v>
      </c>
      <c r="C39">
        <f t="shared" si="0"/>
        <v>1</v>
      </c>
      <c r="D39" s="7">
        <v>999999</v>
      </c>
    </row>
    <row r="40" spans="1:4" x14ac:dyDescent="0.3">
      <c r="A40" t="s">
        <v>13</v>
      </c>
      <c r="B40" t="s">
        <v>101</v>
      </c>
      <c r="C40">
        <f t="shared" si="0"/>
        <v>2</v>
      </c>
      <c r="D40" s="7">
        <v>2.5174637035348817</v>
      </c>
    </row>
    <row r="41" spans="1:4" x14ac:dyDescent="0.3">
      <c r="A41" t="s">
        <v>13</v>
      </c>
      <c r="B41" t="s">
        <v>101</v>
      </c>
      <c r="C41">
        <f t="shared" si="0"/>
        <v>3</v>
      </c>
      <c r="D41" s="7">
        <v>2.3662137035348816</v>
      </c>
    </row>
    <row r="42" spans="1:4" x14ac:dyDescent="0.3">
      <c r="A42" t="s">
        <v>13</v>
      </c>
      <c r="B42" t="s">
        <v>101</v>
      </c>
      <c r="C42">
        <f t="shared" si="0"/>
        <v>4</v>
      </c>
      <c r="D42" s="7">
        <v>2.2149637035348815</v>
      </c>
    </row>
    <row r="43" spans="1:4" x14ac:dyDescent="0.3">
      <c r="A43" t="s">
        <v>13</v>
      </c>
      <c r="B43" t="s">
        <v>101</v>
      </c>
      <c r="C43">
        <f t="shared" si="0"/>
        <v>5</v>
      </c>
      <c r="D43" s="7">
        <v>2.0637137035348818</v>
      </c>
    </row>
    <row r="44" spans="1:4" x14ac:dyDescent="0.3">
      <c r="A44" t="s">
        <v>13</v>
      </c>
      <c r="B44" t="s">
        <v>101</v>
      </c>
      <c r="C44">
        <f t="shared" si="0"/>
        <v>6</v>
      </c>
      <c r="D44" s="7">
        <v>1.9124637035348819</v>
      </c>
    </row>
    <row r="45" spans="1:4" x14ac:dyDescent="0.3">
      <c r="A45" t="s">
        <v>13</v>
      </c>
      <c r="B45" t="s">
        <v>101</v>
      </c>
      <c r="C45">
        <f t="shared" si="0"/>
        <v>7</v>
      </c>
      <c r="D45" s="7">
        <v>1.7612137035348823</v>
      </c>
    </row>
    <row r="46" spans="1:4" x14ac:dyDescent="0.3">
      <c r="A46" t="s">
        <v>16</v>
      </c>
      <c r="B46" t="s">
        <v>101</v>
      </c>
      <c r="C46">
        <f t="shared" si="0"/>
        <v>1</v>
      </c>
      <c r="D46" s="7">
        <v>999999</v>
      </c>
    </row>
    <row r="47" spans="1:4" x14ac:dyDescent="0.3">
      <c r="A47" t="s">
        <v>16</v>
      </c>
      <c r="B47" t="s">
        <v>101</v>
      </c>
      <c r="C47">
        <f t="shared" si="0"/>
        <v>2</v>
      </c>
      <c r="D47" s="7">
        <v>2.5174637035348817</v>
      </c>
    </row>
    <row r="48" spans="1:4" x14ac:dyDescent="0.3">
      <c r="A48" t="s">
        <v>16</v>
      </c>
      <c r="B48" t="s">
        <v>101</v>
      </c>
      <c r="C48">
        <f t="shared" si="0"/>
        <v>3</v>
      </c>
      <c r="D48" s="7">
        <v>2.3662137035348816</v>
      </c>
    </row>
    <row r="49" spans="1:4" x14ac:dyDescent="0.3">
      <c r="A49" t="s">
        <v>16</v>
      </c>
      <c r="B49" t="s">
        <v>101</v>
      </c>
      <c r="C49">
        <f t="shared" si="0"/>
        <v>4</v>
      </c>
      <c r="D49" s="7">
        <v>2.2149637035348815</v>
      </c>
    </row>
    <row r="50" spans="1:4" x14ac:dyDescent="0.3">
      <c r="A50" t="s">
        <v>16</v>
      </c>
      <c r="B50" t="s">
        <v>101</v>
      </c>
      <c r="C50">
        <f t="shared" si="0"/>
        <v>5</v>
      </c>
      <c r="D50" s="7">
        <v>2.0637137035348818</v>
      </c>
    </row>
    <row r="51" spans="1:4" x14ac:dyDescent="0.3">
      <c r="A51" t="s">
        <v>16</v>
      </c>
      <c r="B51" t="s">
        <v>101</v>
      </c>
      <c r="C51">
        <f t="shared" si="0"/>
        <v>6</v>
      </c>
      <c r="D51" s="7">
        <v>1.9124637035348819</v>
      </c>
    </row>
    <row r="52" spans="1:4" x14ac:dyDescent="0.3">
      <c r="A52" t="s">
        <v>16</v>
      </c>
      <c r="B52" t="s">
        <v>101</v>
      </c>
      <c r="C52">
        <f t="shared" si="0"/>
        <v>7</v>
      </c>
      <c r="D52" s="7">
        <v>1.7612137035348823</v>
      </c>
    </row>
    <row r="53" spans="1:4" x14ac:dyDescent="0.3">
      <c r="A53" t="s">
        <v>11</v>
      </c>
      <c r="B53" t="s">
        <v>101</v>
      </c>
      <c r="C53">
        <f t="shared" si="0"/>
        <v>1</v>
      </c>
      <c r="D53" s="7">
        <v>999999</v>
      </c>
    </row>
    <row r="54" spans="1:4" x14ac:dyDescent="0.3">
      <c r="A54" t="s">
        <v>11</v>
      </c>
      <c r="B54" t="s">
        <v>101</v>
      </c>
      <c r="C54">
        <f t="shared" si="0"/>
        <v>2</v>
      </c>
      <c r="D54" s="7">
        <v>2.5174637035348817</v>
      </c>
    </row>
    <row r="55" spans="1:4" x14ac:dyDescent="0.3">
      <c r="A55" t="s">
        <v>11</v>
      </c>
      <c r="B55" t="s">
        <v>101</v>
      </c>
      <c r="C55">
        <f t="shared" si="0"/>
        <v>3</v>
      </c>
      <c r="D55" s="7">
        <v>2.3662137035348816</v>
      </c>
    </row>
    <row r="56" spans="1:4" x14ac:dyDescent="0.3">
      <c r="A56" t="s">
        <v>11</v>
      </c>
      <c r="B56" t="s">
        <v>101</v>
      </c>
      <c r="C56">
        <f t="shared" si="0"/>
        <v>4</v>
      </c>
      <c r="D56" s="7">
        <v>2.2149637035348815</v>
      </c>
    </row>
    <row r="57" spans="1:4" x14ac:dyDescent="0.3">
      <c r="A57" t="s">
        <v>11</v>
      </c>
      <c r="B57" t="s">
        <v>101</v>
      </c>
      <c r="C57">
        <f t="shared" si="0"/>
        <v>5</v>
      </c>
      <c r="D57" s="7">
        <v>2.0637137035348818</v>
      </c>
    </row>
    <row r="58" spans="1:4" x14ac:dyDescent="0.3">
      <c r="A58" t="s">
        <v>11</v>
      </c>
      <c r="B58" t="s">
        <v>101</v>
      </c>
      <c r="C58">
        <f t="shared" si="0"/>
        <v>6</v>
      </c>
      <c r="D58" s="7">
        <v>1.9124637035348819</v>
      </c>
    </row>
    <row r="59" spans="1:4" x14ac:dyDescent="0.3">
      <c r="A59" t="s">
        <v>11</v>
      </c>
      <c r="B59" t="s">
        <v>101</v>
      </c>
      <c r="C59">
        <f t="shared" si="0"/>
        <v>7</v>
      </c>
      <c r="D59" s="7">
        <v>1.7612137035348823</v>
      </c>
    </row>
    <row r="60" spans="1:4" x14ac:dyDescent="0.3">
      <c r="A60" t="s">
        <v>17</v>
      </c>
      <c r="B60" t="s">
        <v>101</v>
      </c>
      <c r="C60">
        <f t="shared" si="0"/>
        <v>1</v>
      </c>
      <c r="D60" s="7">
        <v>999999</v>
      </c>
    </row>
    <row r="61" spans="1:4" x14ac:dyDescent="0.3">
      <c r="A61" t="s">
        <v>17</v>
      </c>
      <c r="B61" t="s">
        <v>101</v>
      </c>
      <c r="C61">
        <f t="shared" si="0"/>
        <v>2</v>
      </c>
      <c r="D61" s="7">
        <v>2.5174637035348817</v>
      </c>
    </row>
    <row r="62" spans="1:4" x14ac:dyDescent="0.3">
      <c r="A62" t="s">
        <v>17</v>
      </c>
      <c r="B62" t="s">
        <v>101</v>
      </c>
      <c r="C62">
        <f t="shared" si="0"/>
        <v>3</v>
      </c>
      <c r="D62" s="7">
        <v>2.3662137035348816</v>
      </c>
    </row>
    <row r="63" spans="1:4" x14ac:dyDescent="0.3">
      <c r="A63" t="s">
        <v>17</v>
      </c>
      <c r="B63" t="s">
        <v>101</v>
      </c>
      <c r="C63">
        <f t="shared" si="0"/>
        <v>4</v>
      </c>
      <c r="D63" s="7">
        <v>2.2149637035348815</v>
      </c>
    </row>
    <row r="64" spans="1:4" x14ac:dyDescent="0.3">
      <c r="A64" t="s">
        <v>17</v>
      </c>
      <c r="B64" t="s">
        <v>101</v>
      </c>
      <c r="C64">
        <f t="shared" si="0"/>
        <v>5</v>
      </c>
      <c r="D64" s="7">
        <v>2.0637137035348818</v>
      </c>
    </row>
    <row r="65" spans="1:4" x14ac:dyDescent="0.3">
      <c r="A65" t="s">
        <v>17</v>
      </c>
      <c r="B65" t="s">
        <v>101</v>
      </c>
      <c r="C65">
        <f t="shared" si="0"/>
        <v>6</v>
      </c>
      <c r="D65" s="7">
        <v>1.9124637035348819</v>
      </c>
    </row>
    <row r="66" spans="1:4" x14ac:dyDescent="0.3">
      <c r="A66" t="s">
        <v>17</v>
      </c>
      <c r="B66" t="s">
        <v>101</v>
      </c>
      <c r="C66">
        <f t="shared" si="0"/>
        <v>7</v>
      </c>
      <c r="D66" s="7">
        <v>1.7612137035348823</v>
      </c>
    </row>
    <row r="67" spans="1:4" x14ac:dyDescent="0.3">
      <c r="A67" t="s">
        <v>18</v>
      </c>
      <c r="B67" t="s">
        <v>101</v>
      </c>
      <c r="C67">
        <f t="shared" si="0"/>
        <v>1</v>
      </c>
      <c r="D67" s="7">
        <v>999999</v>
      </c>
    </row>
    <row r="68" spans="1:4" x14ac:dyDescent="0.3">
      <c r="A68" t="s">
        <v>18</v>
      </c>
      <c r="B68" t="s">
        <v>101</v>
      </c>
      <c r="C68">
        <f t="shared" si="0"/>
        <v>2</v>
      </c>
      <c r="D68" s="7">
        <v>2.5174637035348817</v>
      </c>
    </row>
    <row r="69" spans="1:4" x14ac:dyDescent="0.3">
      <c r="A69" t="s">
        <v>18</v>
      </c>
      <c r="B69" t="s">
        <v>101</v>
      </c>
      <c r="C69">
        <f t="shared" si="0"/>
        <v>3</v>
      </c>
      <c r="D69" s="7">
        <v>2.3662137035348816</v>
      </c>
    </row>
    <row r="70" spans="1:4" x14ac:dyDescent="0.3">
      <c r="A70" t="s">
        <v>18</v>
      </c>
      <c r="B70" t="s">
        <v>101</v>
      </c>
      <c r="C70">
        <f t="shared" si="0"/>
        <v>4</v>
      </c>
      <c r="D70" s="7">
        <v>2.2149637035348815</v>
      </c>
    </row>
    <row r="71" spans="1:4" x14ac:dyDescent="0.3">
      <c r="A71" t="s">
        <v>18</v>
      </c>
      <c r="B71" t="s">
        <v>101</v>
      </c>
      <c r="C71">
        <f t="shared" si="0"/>
        <v>5</v>
      </c>
      <c r="D71" s="7">
        <v>2.0637137035348818</v>
      </c>
    </row>
    <row r="72" spans="1:4" x14ac:dyDescent="0.3">
      <c r="A72" t="s">
        <v>18</v>
      </c>
      <c r="B72" t="s">
        <v>101</v>
      </c>
      <c r="C72">
        <f t="shared" si="0"/>
        <v>6</v>
      </c>
      <c r="D72" s="7">
        <v>1.9124637035348819</v>
      </c>
    </row>
    <row r="73" spans="1:4" x14ac:dyDescent="0.3">
      <c r="A73" t="s">
        <v>18</v>
      </c>
      <c r="B73" t="s">
        <v>101</v>
      </c>
      <c r="C73">
        <f t="shared" si="0"/>
        <v>7</v>
      </c>
      <c r="D73" s="7">
        <v>1.7612137035348823</v>
      </c>
    </row>
    <row r="74" spans="1:4" x14ac:dyDescent="0.3">
      <c r="A74" t="s">
        <v>21</v>
      </c>
      <c r="B74" t="s">
        <v>101</v>
      </c>
      <c r="C74">
        <f t="shared" si="0"/>
        <v>1</v>
      </c>
      <c r="D74" s="7">
        <v>999999</v>
      </c>
    </row>
    <row r="75" spans="1:4" x14ac:dyDescent="0.3">
      <c r="A75" t="s">
        <v>21</v>
      </c>
      <c r="B75" t="s">
        <v>101</v>
      </c>
      <c r="C75">
        <f t="shared" si="0"/>
        <v>2</v>
      </c>
      <c r="D75" s="7">
        <v>2.5174637035348817</v>
      </c>
    </row>
    <row r="76" spans="1:4" x14ac:dyDescent="0.3">
      <c r="A76" t="s">
        <v>21</v>
      </c>
      <c r="B76" t="s">
        <v>101</v>
      </c>
      <c r="C76">
        <f t="shared" si="0"/>
        <v>3</v>
      </c>
      <c r="D76" s="7">
        <v>2.3662137035348816</v>
      </c>
    </row>
    <row r="77" spans="1:4" x14ac:dyDescent="0.3">
      <c r="A77" t="s">
        <v>21</v>
      </c>
      <c r="B77" t="s">
        <v>101</v>
      </c>
      <c r="C77">
        <f t="shared" si="0"/>
        <v>4</v>
      </c>
      <c r="D77" s="7">
        <v>2.2149637035348815</v>
      </c>
    </row>
    <row r="78" spans="1:4" x14ac:dyDescent="0.3">
      <c r="A78" t="s">
        <v>21</v>
      </c>
      <c r="B78" t="s">
        <v>101</v>
      </c>
      <c r="C78">
        <f t="shared" si="0"/>
        <v>5</v>
      </c>
      <c r="D78" s="7">
        <v>2.0637137035348818</v>
      </c>
    </row>
    <row r="79" spans="1:4" x14ac:dyDescent="0.3">
      <c r="A79" t="s">
        <v>21</v>
      </c>
      <c r="B79" t="s">
        <v>101</v>
      </c>
      <c r="C79">
        <f t="shared" si="0"/>
        <v>6</v>
      </c>
      <c r="D79" s="7">
        <v>1.9124637035348819</v>
      </c>
    </row>
    <row r="80" spans="1:4" x14ac:dyDescent="0.3">
      <c r="A80" t="s">
        <v>21</v>
      </c>
      <c r="B80" t="s">
        <v>101</v>
      </c>
      <c r="C80">
        <f t="shared" si="0"/>
        <v>7</v>
      </c>
      <c r="D80" s="7">
        <v>1.7612137035348823</v>
      </c>
    </row>
    <row r="81" spans="1:4" x14ac:dyDescent="0.3">
      <c r="A81" t="s">
        <v>23</v>
      </c>
      <c r="B81" t="s">
        <v>101</v>
      </c>
      <c r="C81">
        <f t="shared" si="0"/>
        <v>1</v>
      </c>
      <c r="D81" s="7">
        <v>999999</v>
      </c>
    </row>
    <row r="82" spans="1:4" x14ac:dyDescent="0.3">
      <c r="A82" t="s">
        <v>23</v>
      </c>
      <c r="B82" t="s">
        <v>101</v>
      </c>
      <c r="C82">
        <f t="shared" si="0"/>
        <v>2</v>
      </c>
      <c r="D82" s="7">
        <v>2.5174637035348817</v>
      </c>
    </row>
    <row r="83" spans="1:4" x14ac:dyDescent="0.3">
      <c r="A83" t="s">
        <v>23</v>
      </c>
      <c r="B83" t="s">
        <v>101</v>
      </c>
      <c r="C83">
        <f t="shared" si="0"/>
        <v>3</v>
      </c>
      <c r="D83" s="7">
        <v>2.3662137035348816</v>
      </c>
    </row>
    <row r="84" spans="1:4" x14ac:dyDescent="0.3">
      <c r="A84" t="s">
        <v>23</v>
      </c>
      <c r="B84" t="s">
        <v>101</v>
      </c>
      <c r="C84">
        <f t="shared" si="0"/>
        <v>4</v>
      </c>
      <c r="D84" s="7">
        <v>2.2149637035348815</v>
      </c>
    </row>
    <row r="85" spans="1:4" x14ac:dyDescent="0.3">
      <c r="A85" t="s">
        <v>23</v>
      </c>
      <c r="B85" t="s">
        <v>101</v>
      </c>
      <c r="C85">
        <f t="shared" si="0"/>
        <v>5</v>
      </c>
      <c r="D85" s="7">
        <v>2.0637137035348818</v>
      </c>
    </row>
    <row r="86" spans="1:4" x14ac:dyDescent="0.3">
      <c r="A86" t="s">
        <v>23</v>
      </c>
      <c r="B86" t="s">
        <v>101</v>
      </c>
      <c r="C86">
        <f t="shared" si="0"/>
        <v>6</v>
      </c>
      <c r="D86" s="7">
        <v>1.9124637035348819</v>
      </c>
    </row>
    <row r="87" spans="1:4" x14ac:dyDescent="0.3">
      <c r="A87" t="s">
        <v>23</v>
      </c>
      <c r="B87" t="s">
        <v>101</v>
      </c>
      <c r="C87">
        <f t="shared" si="0"/>
        <v>7</v>
      </c>
      <c r="D87" s="7">
        <v>1.7612137035348823</v>
      </c>
    </row>
    <row r="88" spans="1:4" x14ac:dyDescent="0.3">
      <c r="A88" t="s">
        <v>27</v>
      </c>
      <c r="B88" t="s">
        <v>101</v>
      </c>
      <c r="C88">
        <f t="shared" si="0"/>
        <v>1</v>
      </c>
      <c r="D88" s="7">
        <v>999999</v>
      </c>
    </row>
    <row r="89" spans="1:4" x14ac:dyDescent="0.3">
      <c r="A89" t="s">
        <v>27</v>
      </c>
      <c r="B89" t="s">
        <v>101</v>
      </c>
      <c r="C89">
        <f t="shared" si="0"/>
        <v>2</v>
      </c>
      <c r="D89" s="7">
        <v>2.5174637035348817</v>
      </c>
    </row>
    <row r="90" spans="1:4" x14ac:dyDescent="0.3">
      <c r="A90" t="s">
        <v>27</v>
      </c>
      <c r="B90" t="s">
        <v>101</v>
      </c>
      <c r="C90">
        <f t="shared" si="0"/>
        <v>3</v>
      </c>
      <c r="D90" s="7">
        <v>2.3662137035348816</v>
      </c>
    </row>
    <row r="91" spans="1:4" x14ac:dyDescent="0.3">
      <c r="A91" t="s">
        <v>27</v>
      </c>
      <c r="B91" t="s">
        <v>101</v>
      </c>
      <c r="C91">
        <f t="shared" si="0"/>
        <v>4</v>
      </c>
      <c r="D91" s="7">
        <v>2.2149637035348815</v>
      </c>
    </row>
    <row r="92" spans="1:4" x14ac:dyDescent="0.3">
      <c r="A92" t="s">
        <v>27</v>
      </c>
      <c r="B92" t="s">
        <v>101</v>
      </c>
      <c r="C92">
        <f t="shared" si="0"/>
        <v>5</v>
      </c>
      <c r="D92" s="7">
        <v>2.0637137035348818</v>
      </c>
    </row>
    <row r="93" spans="1:4" x14ac:dyDescent="0.3">
      <c r="A93" t="s">
        <v>27</v>
      </c>
      <c r="B93" t="s">
        <v>101</v>
      </c>
      <c r="C93">
        <f t="shared" si="0"/>
        <v>6</v>
      </c>
      <c r="D93" s="7">
        <v>1.9124637035348819</v>
      </c>
    </row>
    <row r="94" spans="1:4" x14ac:dyDescent="0.3">
      <c r="A94" t="s">
        <v>27</v>
      </c>
      <c r="B94" t="s">
        <v>101</v>
      </c>
      <c r="C94">
        <f t="shared" si="0"/>
        <v>7</v>
      </c>
      <c r="D94" s="7">
        <v>1.7612137035348823</v>
      </c>
    </row>
    <row r="95" spans="1:4" x14ac:dyDescent="0.3">
      <c r="A95" t="s">
        <v>33</v>
      </c>
      <c r="B95" t="s">
        <v>101</v>
      </c>
      <c r="C95">
        <f t="shared" si="0"/>
        <v>1</v>
      </c>
      <c r="D95" s="7">
        <v>999999</v>
      </c>
    </row>
    <row r="96" spans="1:4" x14ac:dyDescent="0.3">
      <c r="A96" t="s">
        <v>33</v>
      </c>
      <c r="B96" t="s">
        <v>101</v>
      </c>
      <c r="C96">
        <f t="shared" si="0"/>
        <v>2</v>
      </c>
      <c r="D96" s="7">
        <v>2.5174637035348817</v>
      </c>
    </row>
    <row r="97" spans="1:4" x14ac:dyDescent="0.3">
      <c r="A97" t="s">
        <v>33</v>
      </c>
      <c r="B97" t="s">
        <v>101</v>
      </c>
      <c r="C97">
        <f t="shared" ref="C97:C129" si="1">C90</f>
        <v>3</v>
      </c>
      <c r="D97" s="7">
        <v>2.3662137035348816</v>
      </c>
    </row>
    <row r="98" spans="1:4" x14ac:dyDescent="0.3">
      <c r="A98" t="s">
        <v>33</v>
      </c>
      <c r="B98" t="s">
        <v>101</v>
      </c>
      <c r="C98">
        <f t="shared" si="1"/>
        <v>4</v>
      </c>
      <c r="D98" s="7">
        <v>2.2149637035348815</v>
      </c>
    </row>
    <row r="99" spans="1:4" x14ac:dyDescent="0.3">
      <c r="A99" t="s">
        <v>33</v>
      </c>
      <c r="B99" t="s">
        <v>101</v>
      </c>
      <c r="C99">
        <f t="shared" si="1"/>
        <v>5</v>
      </c>
      <c r="D99" s="7">
        <v>2.0637137035348818</v>
      </c>
    </row>
    <row r="100" spans="1:4" x14ac:dyDescent="0.3">
      <c r="A100" t="s">
        <v>33</v>
      </c>
      <c r="B100" t="s">
        <v>101</v>
      </c>
      <c r="C100">
        <f t="shared" si="1"/>
        <v>6</v>
      </c>
      <c r="D100" s="7">
        <v>1.9124637035348819</v>
      </c>
    </row>
    <row r="101" spans="1:4" x14ac:dyDescent="0.3">
      <c r="A101" t="s">
        <v>33</v>
      </c>
      <c r="B101" t="s">
        <v>101</v>
      </c>
      <c r="C101">
        <f t="shared" si="1"/>
        <v>7</v>
      </c>
      <c r="D101" s="7">
        <v>1.7612137035348823</v>
      </c>
    </row>
    <row r="102" spans="1:4" x14ac:dyDescent="0.3">
      <c r="A102" t="s">
        <v>34</v>
      </c>
      <c r="B102" t="s">
        <v>101</v>
      </c>
      <c r="C102">
        <f t="shared" si="1"/>
        <v>1</v>
      </c>
      <c r="D102" s="7">
        <v>999999</v>
      </c>
    </row>
    <row r="103" spans="1:4" x14ac:dyDescent="0.3">
      <c r="A103" t="s">
        <v>34</v>
      </c>
      <c r="B103" t="s">
        <v>101</v>
      </c>
      <c r="C103">
        <f t="shared" si="1"/>
        <v>2</v>
      </c>
      <c r="D103" s="7">
        <v>2.5174637035348817</v>
      </c>
    </row>
    <row r="104" spans="1:4" x14ac:dyDescent="0.3">
      <c r="A104" t="s">
        <v>34</v>
      </c>
      <c r="B104" t="s">
        <v>101</v>
      </c>
      <c r="C104">
        <f t="shared" si="1"/>
        <v>3</v>
      </c>
      <c r="D104" s="7">
        <v>2.3662137035348816</v>
      </c>
    </row>
    <row r="105" spans="1:4" x14ac:dyDescent="0.3">
      <c r="A105" t="s">
        <v>34</v>
      </c>
      <c r="B105" t="s">
        <v>101</v>
      </c>
      <c r="C105">
        <f t="shared" si="1"/>
        <v>4</v>
      </c>
      <c r="D105" s="7">
        <v>2.2149637035348815</v>
      </c>
    </row>
    <row r="106" spans="1:4" x14ac:dyDescent="0.3">
      <c r="A106" t="s">
        <v>34</v>
      </c>
      <c r="B106" t="s">
        <v>101</v>
      </c>
      <c r="C106">
        <f t="shared" si="1"/>
        <v>5</v>
      </c>
      <c r="D106" s="7">
        <v>2.0637137035348818</v>
      </c>
    </row>
    <row r="107" spans="1:4" x14ac:dyDescent="0.3">
      <c r="A107" t="s">
        <v>34</v>
      </c>
      <c r="B107" t="s">
        <v>101</v>
      </c>
      <c r="C107">
        <f t="shared" si="1"/>
        <v>6</v>
      </c>
      <c r="D107" s="7">
        <v>1.9124637035348819</v>
      </c>
    </row>
    <row r="108" spans="1:4" x14ac:dyDescent="0.3">
      <c r="A108" t="s">
        <v>34</v>
      </c>
      <c r="B108" t="s">
        <v>101</v>
      </c>
      <c r="C108">
        <f t="shared" si="1"/>
        <v>7</v>
      </c>
      <c r="D108" s="7">
        <v>1.7612137035348823</v>
      </c>
    </row>
    <row r="109" spans="1:4" x14ac:dyDescent="0.3">
      <c r="A109" t="s">
        <v>35</v>
      </c>
      <c r="B109" t="s">
        <v>101</v>
      </c>
      <c r="C109">
        <f t="shared" si="1"/>
        <v>1</v>
      </c>
      <c r="D109" s="7">
        <v>999999</v>
      </c>
    </row>
    <row r="110" spans="1:4" x14ac:dyDescent="0.3">
      <c r="A110" t="s">
        <v>35</v>
      </c>
      <c r="B110" t="s">
        <v>101</v>
      </c>
      <c r="C110">
        <f t="shared" si="1"/>
        <v>2</v>
      </c>
      <c r="D110" s="7">
        <v>2.5174637035348817</v>
      </c>
    </row>
    <row r="111" spans="1:4" x14ac:dyDescent="0.3">
      <c r="A111" t="s">
        <v>35</v>
      </c>
      <c r="B111" t="s">
        <v>101</v>
      </c>
      <c r="C111">
        <f t="shared" si="1"/>
        <v>3</v>
      </c>
      <c r="D111" s="7">
        <v>2.3662137035348816</v>
      </c>
    </row>
    <row r="112" spans="1:4" x14ac:dyDescent="0.3">
      <c r="A112" t="s">
        <v>35</v>
      </c>
      <c r="B112" t="s">
        <v>101</v>
      </c>
      <c r="C112">
        <f t="shared" si="1"/>
        <v>4</v>
      </c>
      <c r="D112" s="7">
        <v>2.2149637035348815</v>
      </c>
    </row>
    <row r="113" spans="1:4" x14ac:dyDescent="0.3">
      <c r="A113" t="s">
        <v>35</v>
      </c>
      <c r="B113" t="s">
        <v>101</v>
      </c>
      <c r="C113">
        <f t="shared" si="1"/>
        <v>5</v>
      </c>
      <c r="D113" s="7">
        <v>2.0637137035348818</v>
      </c>
    </row>
    <row r="114" spans="1:4" x14ac:dyDescent="0.3">
      <c r="A114" t="s">
        <v>35</v>
      </c>
      <c r="B114" t="s">
        <v>101</v>
      </c>
      <c r="C114">
        <f t="shared" si="1"/>
        <v>6</v>
      </c>
      <c r="D114" s="7">
        <v>1.9124637035348819</v>
      </c>
    </row>
    <row r="115" spans="1:4" x14ac:dyDescent="0.3">
      <c r="A115" t="s">
        <v>35</v>
      </c>
      <c r="B115" t="s">
        <v>101</v>
      </c>
      <c r="C115">
        <f t="shared" si="1"/>
        <v>7</v>
      </c>
      <c r="D115" s="7">
        <v>1.7612137035348823</v>
      </c>
    </row>
    <row r="116" spans="1:4" x14ac:dyDescent="0.3">
      <c r="A116" t="s">
        <v>22</v>
      </c>
      <c r="B116" t="s">
        <v>101</v>
      </c>
      <c r="C116">
        <f t="shared" si="1"/>
        <v>1</v>
      </c>
      <c r="D116" s="7">
        <v>999999</v>
      </c>
    </row>
    <row r="117" spans="1:4" x14ac:dyDescent="0.3">
      <c r="A117" t="s">
        <v>22</v>
      </c>
      <c r="B117" t="s">
        <v>101</v>
      </c>
      <c r="C117">
        <f t="shared" si="1"/>
        <v>2</v>
      </c>
      <c r="D117" s="7">
        <v>2.5174637035348817</v>
      </c>
    </row>
    <row r="118" spans="1:4" x14ac:dyDescent="0.3">
      <c r="A118" t="s">
        <v>22</v>
      </c>
      <c r="B118" t="s">
        <v>101</v>
      </c>
      <c r="C118">
        <f t="shared" si="1"/>
        <v>3</v>
      </c>
      <c r="D118" s="7">
        <v>2.3662137035348816</v>
      </c>
    </row>
    <row r="119" spans="1:4" x14ac:dyDescent="0.3">
      <c r="A119" t="s">
        <v>22</v>
      </c>
      <c r="B119" t="s">
        <v>101</v>
      </c>
      <c r="C119">
        <f t="shared" si="1"/>
        <v>4</v>
      </c>
      <c r="D119" s="7">
        <v>2.2149637035348815</v>
      </c>
    </row>
    <row r="120" spans="1:4" x14ac:dyDescent="0.3">
      <c r="A120" t="s">
        <v>22</v>
      </c>
      <c r="B120" t="s">
        <v>101</v>
      </c>
      <c r="C120">
        <f t="shared" si="1"/>
        <v>5</v>
      </c>
      <c r="D120" s="7">
        <v>2.0637137035348818</v>
      </c>
    </row>
    <row r="121" spans="1:4" x14ac:dyDescent="0.3">
      <c r="A121" t="s">
        <v>22</v>
      </c>
      <c r="B121" t="s">
        <v>101</v>
      </c>
      <c r="C121">
        <f t="shared" si="1"/>
        <v>6</v>
      </c>
      <c r="D121" s="7">
        <v>1.9124637035348819</v>
      </c>
    </row>
    <row r="122" spans="1:4" x14ac:dyDescent="0.3">
      <c r="A122" t="s">
        <v>22</v>
      </c>
      <c r="B122" t="s">
        <v>101</v>
      </c>
      <c r="C122">
        <f t="shared" si="1"/>
        <v>7</v>
      </c>
      <c r="D122" s="7">
        <v>1.7612137035348823</v>
      </c>
    </row>
    <row r="123" spans="1:4" x14ac:dyDescent="0.3">
      <c r="A123" t="s">
        <v>14</v>
      </c>
      <c r="B123" t="s">
        <v>101</v>
      </c>
      <c r="C123">
        <f t="shared" si="1"/>
        <v>1</v>
      </c>
      <c r="D123" s="7">
        <v>999999</v>
      </c>
    </row>
    <row r="124" spans="1:4" x14ac:dyDescent="0.3">
      <c r="A124" t="s">
        <v>14</v>
      </c>
      <c r="B124" t="s">
        <v>101</v>
      </c>
      <c r="C124">
        <f t="shared" si="1"/>
        <v>2</v>
      </c>
      <c r="D124" s="7">
        <v>2.5174637035348817</v>
      </c>
    </row>
    <row r="125" spans="1:4" x14ac:dyDescent="0.3">
      <c r="A125" t="s">
        <v>14</v>
      </c>
      <c r="B125" t="s">
        <v>101</v>
      </c>
      <c r="C125">
        <f t="shared" si="1"/>
        <v>3</v>
      </c>
      <c r="D125" s="7">
        <v>2.3662137035348816</v>
      </c>
    </row>
    <row r="126" spans="1:4" x14ac:dyDescent="0.3">
      <c r="A126" t="s">
        <v>14</v>
      </c>
      <c r="B126" t="s">
        <v>101</v>
      </c>
      <c r="C126">
        <f t="shared" si="1"/>
        <v>4</v>
      </c>
      <c r="D126" s="7">
        <v>2.2149637035348815</v>
      </c>
    </row>
    <row r="127" spans="1:4" x14ac:dyDescent="0.3">
      <c r="A127" t="s">
        <v>14</v>
      </c>
      <c r="B127" t="s">
        <v>101</v>
      </c>
      <c r="C127">
        <f t="shared" si="1"/>
        <v>5</v>
      </c>
      <c r="D127" s="7">
        <v>2.0637137035348818</v>
      </c>
    </row>
    <row r="128" spans="1:4" x14ac:dyDescent="0.3">
      <c r="A128" t="s">
        <v>14</v>
      </c>
      <c r="B128" t="s">
        <v>101</v>
      </c>
      <c r="C128">
        <f t="shared" si="1"/>
        <v>6</v>
      </c>
      <c r="D128" s="7">
        <v>1.9124637035348819</v>
      </c>
    </row>
    <row r="129" spans="1:4" x14ac:dyDescent="0.3">
      <c r="A129" t="s">
        <v>14</v>
      </c>
      <c r="B129" t="s">
        <v>101</v>
      </c>
      <c r="C129">
        <f t="shared" si="1"/>
        <v>7</v>
      </c>
      <c r="D129" s="7">
        <v>1.7612137035348823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BE88-8957-43AB-825F-393132C351DB}">
  <dimension ref="A1:H356"/>
  <sheetViews>
    <sheetView tabSelected="1" zoomScale="79" zoomScaleNormal="100" workbookViewId="0">
      <selection activeCell="F49" sqref="F49"/>
    </sheetView>
  </sheetViews>
  <sheetFormatPr defaultRowHeight="14.4" x14ac:dyDescent="0.3"/>
  <cols>
    <col min="1" max="1" width="18.5546875" customWidth="1"/>
    <col min="2" max="2" width="16.88671875" bestFit="1" customWidth="1"/>
    <col min="3" max="3" width="9" bestFit="1" customWidth="1"/>
    <col min="4" max="4" width="25" bestFit="1" customWidth="1"/>
    <col min="5" max="5" width="12.88671875" bestFit="1" customWidth="1"/>
    <col min="8" max="8" width="9.109375" bestFit="1" customWidth="1"/>
    <col min="12" max="12" width="19" customWidth="1"/>
    <col min="13" max="13" width="25.21875" bestFit="1" customWidth="1"/>
    <col min="14" max="14" width="20.77734375" bestFit="1" customWidth="1"/>
    <col min="15" max="15" width="25.21875" bestFit="1" customWidth="1"/>
    <col min="16" max="16" width="20.77734375" bestFit="1" customWidth="1"/>
    <col min="17" max="17" width="25.21875" bestFit="1" customWidth="1"/>
    <col min="18" max="18" width="20.77734375" bestFit="1" customWidth="1"/>
    <col min="19" max="19" width="25.21875" bestFit="1" customWidth="1"/>
    <col min="20" max="20" width="20.77734375" bestFit="1" customWidth="1"/>
  </cols>
  <sheetData>
    <row r="1" spans="1:4" x14ac:dyDescent="0.3">
      <c r="A1" t="s">
        <v>99</v>
      </c>
    </row>
    <row r="2" spans="1:4" x14ac:dyDescent="0.3">
      <c r="A2" t="s">
        <v>105</v>
      </c>
    </row>
    <row r="3" spans="1:4" x14ac:dyDescent="0.3">
      <c r="A3" t="s">
        <v>110</v>
      </c>
      <c r="B3" t="s">
        <v>102</v>
      </c>
      <c r="C3" t="s">
        <v>48</v>
      </c>
      <c r="D3" t="s">
        <v>100</v>
      </c>
    </row>
    <row r="4" spans="1:4" x14ac:dyDescent="0.3">
      <c r="A4" t="s">
        <v>14</v>
      </c>
      <c r="B4" t="s">
        <v>97</v>
      </c>
      <c r="C4">
        <v>1</v>
      </c>
      <c r="D4" s="4">
        <v>9999999999999</v>
      </c>
    </row>
    <row r="5" spans="1:4" x14ac:dyDescent="0.3">
      <c r="A5" t="s">
        <v>14</v>
      </c>
      <c r="B5" t="s">
        <v>97</v>
      </c>
      <c r="C5">
        <v>2</v>
      </c>
      <c r="D5" s="4">
        <v>21851421.428571433</v>
      </c>
    </row>
    <row r="6" spans="1:4" x14ac:dyDescent="0.3">
      <c r="A6" t="s">
        <v>14</v>
      </c>
      <c r="B6" t="s">
        <v>97</v>
      </c>
      <c r="C6">
        <v>3</v>
      </c>
      <c r="D6" s="4">
        <v>21438276.190476198</v>
      </c>
    </row>
    <row r="7" spans="1:4" x14ac:dyDescent="0.3">
      <c r="A7" t="s">
        <v>14</v>
      </c>
      <c r="B7" t="s">
        <v>97</v>
      </c>
      <c r="C7">
        <v>4</v>
      </c>
      <c r="D7" s="4">
        <v>21025130.952380963</v>
      </c>
    </row>
    <row r="8" spans="1:4" x14ac:dyDescent="0.3">
      <c r="A8" t="s">
        <v>14</v>
      </c>
      <c r="B8" t="s">
        <v>97</v>
      </c>
      <c r="C8">
        <v>5</v>
      </c>
      <c r="D8" s="4">
        <v>20611985.714285724</v>
      </c>
    </row>
    <row r="9" spans="1:4" x14ac:dyDescent="0.3">
      <c r="A9" t="s">
        <v>14</v>
      </c>
      <c r="B9" t="s">
        <v>97</v>
      </c>
      <c r="C9">
        <v>6</v>
      </c>
      <c r="D9" s="4">
        <v>20198840.476190489</v>
      </c>
    </row>
    <row r="10" spans="1:4" x14ac:dyDescent="0.3">
      <c r="A10" t="s">
        <v>14</v>
      </c>
      <c r="B10" t="s">
        <v>97</v>
      </c>
      <c r="C10">
        <v>7</v>
      </c>
      <c r="D10" s="4">
        <v>19785695.238095254</v>
      </c>
    </row>
    <row r="11" spans="1:4" x14ac:dyDescent="0.3">
      <c r="A11" t="s">
        <v>22</v>
      </c>
      <c r="B11" t="s">
        <v>97</v>
      </c>
      <c r="C11">
        <f t="shared" ref="C11:C24" si="0">C4</f>
        <v>1</v>
      </c>
      <c r="D11" s="4">
        <v>9999999999999</v>
      </c>
    </row>
    <row r="12" spans="1:4" x14ac:dyDescent="0.3">
      <c r="A12" t="s">
        <v>22</v>
      </c>
      <c r="B12" t="s">
        <v>97</v>
      </c>
      <c r="C12">
        <f t="shared" si="0"/>
        <v>2</v>
      </c>
      <c r="D12" s="4">
        <v>34059535.714285724</v>
      </c>
    </row>
    <row r="13" spans="1:4" x14ac:dyDescent="0.3">
      <c r="A13" t="s">
        <v>22</v>
      </c>
      <c r="B13" t="s">
        <v>97</v>
      </c>
      <c r="C13">
        <f t="shared" si="0"/>
        <v>3</v>
      </c>
      <c r="D13" s="4">
        <v>33415571.42857144</v>
      </c>
    </row>
    <row r="14" spans="1:4" x14ac:dyDescent="0.3">
      <c r="A14" t="s">
        <v>22</v>
      </c>
      <c r="B14" t="s">
        <v>97</v>
      </c>
      <c r="C14">
        <f t="shared" si="0"/>
        <v>4</v>
      </c>
      <c r="D14" s="4">
        <v>32771607.142857157</v>
      </c>
    </row>
    <row r="15" spans="1:4" x14ac:dyDescent="0.3">
      <c r="A15" t="s">
        <v>22</v>
      </c>
      <c r="B15" t="s">
        <v>97</v>
      </c>
      <c r="C15">
        <f t="shared" si="0"/>
        <v>5</v>
      </c>
      <c r="D15" s="4">
        <v>32127642.857142873</v>
      </c>
    </row>
    <row r="16" spans="1:4" x14ac:dyDescent="0.3">
      <c r="A16" t="s">
        <v>22</v>
      </c>
      <c r="B16" t="s">
        <v>97</v>
      </c>
      <c r="C16">
        <f t="shared" si="0"/>
        <v>6</v>
      </c>
      <c r="D16" s="4">
        <v>31483678.571428593</v>
      </c>
    </row>
    <row r="17" spans="1:4" x14ac:dyDescent="0.3">
      <c r="A17" t="s">
        <v>22</v>
      </c>
      <c r="B17" t="s">
        <v>97</v>
      </c>
      <c r="C17">
        <f t="shared" si="0"/>
        <v>7</v>
      </c>
      <c r="D17" s="4">
        <v>30839714.28571431</v>
      </c>
    </row>
    <row r="18" spans="1:4" x14ac:dyDescent="0.3">
      <c r="A18" t="s">
        <v>18</v>
      </c>
      <c r="B18" t="s">
        <v>97</v>
      </c>
      <c r="C18">
        <f t="shared" si="0"/>
        <v>1</v>
      </c>
      <c r="D18" s="4">
        <v>9999999999999</v>
      </c>
    </row>
    <row r="19" spans="1:4" x14ac:dyDescent="0.3">
      <c r="A19" t="s">
        <v>18</v>
      </c>
      <c r="B19" t="s">
        <v>97</v>
      </c>
      <c r="C19">
        <f t="shared" si="0"/>
        <v>2</v>
      </c>
      <c r="D19" s="4">
        <v>34932857.142857149</v>
      </c>
    </row>
    <row r="20" spans="1:4" x14ac:dyDescent="0.3">
      <c r="A20" t="s">
        <v>18</v>
      </c>
      <c r="B20" t="s">
        <v>97</v>
      </c>
      <c r="C20">
        <f t="shared" si="0"/>
        <v>3</v>
      </c>
      <c r="D20" s="4">
        <v>34272380.952380963</v>
      </c>
    </row>
    <row r="21" spans="1:4" x14ac:dyDescent="0.3">
      <c r="A21" t="s">
        <v>18</v>
      </c>
      <c r="B21" t="s">
        <v>97</v>
      </c>
      <c r="C21">
        <f t="shared" si="0"/>
        <v>4</v>
      </c>
      <c r="D21" s="4">
        <v>33611904.761904776</v>
      </c>
    </row>
    <row r="22" spans="1:4" x14ac:dyDescent="0.3">
      <c r="A22" t="s">
        <v>18</v>
      </c>
      <c r="B22" t="s">
        <v>97</v>
      </c>
      <c r="C22">
        <f t="shared" si="0"/>
        <v>5</v>
      </c>
      <c r="D22" s="4">
        <v>32951428.57142859</v>
      </c>
    </row>
    <row r="23" spans="1:4" x14ac:dyDescent="0.3">
      <c r="A23" t="s">
        <v>18</v>
      </c>
      <c r="B23" t="s">
        <v>97</v>
      </c>
      <c r="C23">
        <f t="shared" si="0"/>
        <v>6</v>
      </c>
      <c r="D23" s="4">
        <v>32290952.380952403</v>
      </c>
    </row>
    <row r="24" spans="1:4" x14ac:dyDescent="0.3">
      <c r="A24" t="s">
        <v>18</v>
      </c>
      <c r="B24" t="s">
        <v>97</v>
      </c>
      <c r="C24">
        <f t="shared" si="0"/>
        <v>7</v>
      </c>
      <c r="D24" s="4">
        <v>31630476.190476216</v>
      </c>
    </row>
    <row r="25" spans="1:4" x14ac:dyDescent="0.3">
      <c r="A25" t="s">
        <v>7</v>
      </c>
      <c r="B25" t="s">
        <v>101</v>
      </c>
      <c r="C25">
        <f t="shared" ref="C25:C31" si="1">C11</f>
        <v>1</v>
      </c>
      <c r="D25" s="4">
        <v>9999999999999</v>
      </c>
    </row>
    <row r="26" spans="1:4" x14ac:dyDescent="0.3">
      <c r="A26" t="s">
        <v>7</v>
      </c>
      <c r="B26" t="s">
        <v>101</v>
      </c>
      <c r="C26">
        <f t="shared" si="1"/>
        <v>2</v>
      </c>
      <c r="D26" s="4">
        <v>21631111.800000001</v>
      </c>
    </row>
    <row r="27" spans="1:4" x14ac:dyDescent="0.3">
      <c r="A27" t="s">
        <v>7</v>
      </c>
      <c r="B27" t="s">
        <v>101</v>
      </c>
      <c r="C27">
        <f t="shared" si="1"/>
        <v>3</v>
      </c>
      <c r="D27" s="4">
        <v>21631111.800000001</v>
      </c>
    </row>
    <row r="28" spans="1:4" x14ac:dyDescent="0.3">
      <c r="A28" t="s">
        <v>7</v>
      </c>
      <c r="B28" t="s">
        <v>101</v>
      </c>
      <c r="C28">
        <f t="shared" si="1"/>
        <v>4</v>
      </c>
      <c r="D28" s="4">
        <v>21631111.800000001</v>
      </c>
    </row>
    <row r="29" spans="1:4" x14ac:dyDescent="0.3">
      <c r="A29" t="s">
        <v>7</v>
      </c>
      <c r="B29" t="s">
        <v>101</v>
      </c>
      <c r="C29">
        <f t="shared" si="1"/>
        <v>5</v>
      </c>
      <c r="D29" s="4">
        <v>21631111.800000001</v>
      </c>
    </row>
    <row r="30" spans="1:4" x14ac:dyDescent="0.3">
      <c r="A30" t="s">
        <v>7</v>
      </c>
      <c r="B30" t="s">
        <v>101</v>
      </c>
      <c r="C30">
        <f t="shared" si="1"/>
        <v>6</v>
      </c>
      <c r="D30" s="4">
        <v>21631111.800000001</v>
      </c>
    </row>
    <row r="31" spans="1:4" x14ac:dyDescent="0.3">
      <c r="A31" t="s">
        <v>7</v>
      </c>
      <c r="B31" t="s">
        <v>101</v>
      </c>
      <c r="C31">
        <f t="shared" si="1"/>
        <v>7</v>
      </c>
      <c r="D31" s="4">
        <v>21631111.800000001</v>
      </c>
    </row>
    <row r="32" spans="1:4" x14ac:dyDescent="0.3">
      <c r="A32" t="s">
        <v>19</v>
      </c>
      <c r="B32" t="s">
        <v>101</v>
      </c>
      <c r="C32">
        <f t="shared" ref="C32:C51" si="2">C25</f>
        <v>1</v>
      </c>
      <c r="D32" s="4">
        <v>9999999999999</v>
      </c>
    </row>
    <row r="33" spans="1:8" x14ac:dyDescent="0.3">
      <c r="A33" t="s">
        <v>19</v>
      </c>
      <c r="B33" t="s">
        <v>101</v>
      </c>
      <c r="C33">
        <f t="shared" si="2"/>
        <v>2</v>
      </c>
      <c r="D33" s="4">
        <v>21631111.800000001</v>
      </c>
    </row>
    <row r="34" spans="1:8" x14ac:dyDescent="0.3">
      <c r="A34" t="s">
        <v>19</v>
      </c>
      <c r="B34" t="s">
        <v>101</v>
      </c>
      <c r="C34">
        <f t="shared" si="2"/>
        <v>3</v>
      </c>
      <c r="D34" s="4">
        <v>21631111.800000001</v>
      </c>
    </row>
    <row r="35" spans="1:8" x14ac:dyDescent="0.3">
      <c r="A35" t="s">
        <v>19</v>
      </c>
      <c r="B35" t="s">
        <v>101</v>
      </c>
      <c r="C35">
        <f t="shared" si="2"/>
        <v>4</v>
      </c>
      <c r="D35" s="4">
        <v>21631111.800000001</v>
      </c>
    </row>
    <row r="36" spans="1:8" x14ac:dyDescent="0.3">
      <c r="A36" t="s">
        <v>19</v>
      </c>
      <c r="B36" t="s">
        <v>101</v>
      </c>
      <c r="C36">
        <f t="shared" si="2"/>
        <v>5</v>
      </c>
      <c r="D36" s="4">
        <v>21631111.800000001</v>
      </c>
    </row>
    <row r="37" spans="1:8" x14ac:dyDescent="0.3">
      <c r="A37" t="s">
        <v>19</v>
      </c>
      <c r="B37" t="s">
        <v>101</v>
      </c>
      <c r="C37">
        <f t="shared" si="2"/>
        <v>6</v>
      </c>
      <c r="D37" s="4">
        <v>21631111.800000001</v>
      </c>
    </row>
    <row r="38" spans="1:8" x14ac:dyDescent="0.3">
      <c r="A38" t="s">
        <v>19</v>
      </c>
      <c r="B38" t="s">
        <v>101</v>
      </c>
      <c r="C38">
        <f t="shared" si="2"/>
        <v>7</v>
      </c>
      <c r="D38" s="4">
        <v>21631111.800000001</v>
      </c>
      <c r="E38" s="4"/>
    </row>
    <row r="39" spans="1:8" x14ac:dyDescent="0.3">
      <c r="A39" t="s">
        <v>13</v>
      </c>
      <c r="B39" t="s">
        <v>101</v>
      </c>
      <c r="C39">
        <f t="shared" si="2"/>
        <v>1</v>
      </c>
      <c r="D39" s="4">
        <v>9999999999999</v>
      </c>
      <c r="E39" s="4"/>
      <c r="H39" s="4"/>
    </row>
    <row r="40" spans="1:8" x14ac:dyDescent="0.3">
      <c r="A40" t="s">
        <v>13</v>
      </c>
      <c r="B40" t="s">
        <v>101</v>
      </c>
      <c r="C40">
        <f t="shared" si="2"/>
        <v>2</v>
      </c>
      <c r="D40" s="4">
        <v>21631111.800000001</v>
      </c>
      <c r="E40" s="4"/>
      <c r="H40" s="6"/>
    </row>
    <row r="41" spans="1:8" x14ac:dyDescent="0.3">
      <c r="A41" t="s">
        <v>13</v>
      </c>
      <c r="B41" t="s">
        <v>101</v>
      </c>
      <c r="C41">
        <f t="shared" si="2"/>
        <v>3</v>
      </c>
      <c r="D41" s="4">
        <v>21631111.800000001</v>
      </c>
      <c r="E41" s="4"/>
      <c r="H41" s="4"/>
    </row>
    <row r="42" spans="1:8" x14ac:dyDescent="0.3">
      <c r="A42" t="s">
        <v>13</v>
      </c>
      <c r="B42" t="s">
        <v>101</v>
      </c>
      <c r="C42">
        <f t="shared" si="2"/>
        <v>4</v>
      </c>
      <c r="D42" s="4">
        <v>21631111.800000001</v>
      </c>
      <c r="E42" s="4"/>
    </row>
    <row r="43" spans="1:8" x14ac:dyDescent="0.3">
      <c r="A43" t="s">
        <v>13</v>
      </c>
      <c r="B43" t="s">
        <v>101</v>
      </c>
      <c r="C43">
        <f t="shared" si="2"/>
        <v>5</v>
      </c>
      <c r="D43" s="4">
        <v>21631111.800000001</v>
      </c>
      <c r="E43" s="5"/>
    </row>
    <row r="44" spans="1:8" x14ac:dyDescent="0.3">
      <c r="A44" t="s">
        <v>13</v>
      </c>
      <c r="B44" t="s">
        <v>101</v>
      </c>
      <c r="C44">
        <f t="shared" si="2"/>
        <v>6</v>
      </c>
      <c r="D44" s="4">
        <v>21631111.800000001</v>
      </c>
    </row>
    <row r="45" spans="1:8" x14ac:dyDescent="0.3">
      <c r="A45" t="s">
        <v>13</v>
      </c>
      <c r="B45" t="s">
        <v>101</v>
      </c>
      <c r="C45">
        <f t="shared" si="2"/>
        <v>7</v>
      </c>
      <c r="D45" s="4">
        <v>21631111.800000001</v>
      </c>
    </row>
    <row r="46" spans="1:8" x14ac:dyDescent="0.3">
      <c r="A46" t="s">
        <v>16</v>
      </c>
      <c r="B46" t="s">
        <v>101</v>
      </c>
      <c r="C46">
        <f t="shared" si="2"/>
        <v>1</v>
      </c>
      <c r="D46" s="4">
        <v>9999999999999</v>
      </c>
    </row>
    <row r="47" spans="1:8" x14ac:dyDescent="0.3">
      <c r="A47" t="s">
        <v>16</v>
      </c>
      <c r="B47" t="s">
        <v>101</v>
      </c>
      <c r="C47">
        <f t="shared" si="2"/>
        <v>2</v>
      </c>
      <c r="D47" s="4">
        <v>21631111.800000001</v>
      </c>
    </row>
    <row r="48" spans="1:8" x14ac:dyDescent="0.3">
      <c r="A48" t="s">
        <v>16</v>
      </c>
      <c r="B48" t="s">
        <v>101</v>
      </c>
      <c r="C48">
        <f t="shared" si="2"/>
        <v>3</v>
      </c>
      <c r="D48" s="4">
        <v>21631111.800000001</v>
      </c>
    </row>
    <row r="49" spans="1:4" x14ac:dyDescent="0.3">
      <c r="A49" t="s">
        <v>16</v>
      </c>
      <c r="B49" t="s">
        <v>101</v>
      </c>
      <c r="C49">
        <f t="shared" si="2"/>
        <v>4</v>
      </c>
      <c r="D49" s="4">
        <v>21631111.800000001</v>
      </c>
    </row>
    <row r="50" spans="1:4" x14ac:dyDescent="0.3">
      <c r="A50" t="s">
        <v>16</v>
      </c>
      <c r="B50" t="s">
        <v>101</v>
      </c>
      <c r="C50">
        <f t="shared" si="2"/>
        <v>5</v>
      </c>
      <c r="D50" s="4">
        <v>21631111.800000001</v>
      </c>
    </row>
    <row r="51" spans="1:4" x14ac:dyDescent="0.3">
      <c r="A51" t="s">
        <v>16</v>
      </c>
      <c r="B51" t="s">
        <v>101</v>
      </c>
      <c r="C51">
        <f t="shared" si="2"/>
        <v>6</v>
      </c>
      <c r="D51" s="4">
        <v>21631111.800000001</v>
      </c>
    </row>
    <row r="52" spans="1:4" x14ac:dyDescent="0.3">
      <c r="A52" t="s">
        <v>16</v>
      </c>
      <c r="B52" t="s">
        <v>101</v>
      </c>
      <c r="C52">
        <f t="shared" ref="C52:C71" si="3">C45</f>
        <v>7</v>
      </c>
      <c r="D52" s="4">
        <v>21631111.800000001</v>
      </c>
    </row>
    <row r="53" spans="1:4" ht="14.4" customHeight="1" x14ac:dyDescent="0.3">
      <c r="A53" t="s">
        <v>11</v>
      </c>
      <c r="B53" t="s">
        <v>101</v>
      </c>
      <c r="C53">
        <f t="shared" si="3"/>
        <v>1</v>
      </c>
      <c r="D53" s="4">
        <v>9999999999999</v>
      </c>
    </row>
    <row r="54" spans="1:4" ht="14.4" customHeight="1" x14ac:dyDescent="0.3">
      <c r="A54" t="s">
        <v>11</v>
      </c>
      <c r="B54" t="s">
        <v>101</v>
      </c>
      <c r="C54">
        <f t="shared" si="3"/>
        <v>2</v>
      </c>
      <c r="D54" s="4">
        <v>21631111.800000001</v>
      </c>
    </row>
    <row r="55" spans="1:4" x14ac:dyDescent="0.3">
      <c r="A55" t="s">
        <v>11</v>
      </c>
      <c r="B55" t="s">
        <v>101</v>
      </c>
      <c r="C55">
        <f t="shared" si="3"/>
        <v>3</v>
      </c>
      <c r="D55" s="4">
        <v>21631111.800000001</v>
      </c>
    </row>
    <row r="56" spans="1:4" x14ac:dyDescent="0.3">
      <c r="A56" t="s">
        <v>11</v>
      </c>
      <c r="B56" t="s">
        <v>101</v>
      </c>
      <c r="C56">
        <f t="shared" si="3"/>
        <v>4</v>
      </c>
      <c r="D56" s="4">
        <v>21631111.800000001</v>
      </c>
    </row>
    <row r="57" spans="1:4" x14ac:dyDescent="0.3">
      <c r="A57" t="s">
        <v>11</v>
      </c>
      <c r="B57" t="s">
        <v>101</v>
      </c>
      <c r="C57">
        <f t="shared" si="3"/>
        <v>5</v>
      </c>
      <c r="D57" s="4">
        <v>21631111.800000001</v>
      </c>
    </row>
    <row r="58" spans="1:4" x14ac:dyDescent="0.3">
      <c r="A58" t="s">
        <v>11</v>
      </c>
      <c r="B58" t="s">
        <v>101</v>
      </c>
      <c r="C58">
        <f t="shared" si="3"/>
        <v>6</v>
      </c>
      <c r="D58" s="4">
        <v>21631111.800000001</v>
      </c>
    </row>
    <row r="59" spans="1:4" x14ac:dyDescent="0.3">
      <c r="A59" t="s">
        <v>11</v>
      </c>
      <c r="B59" t="s">
        <v>101</v>
      </c>
      <c r="C59">
        <f t="shared" si="3"/>
        <v>7</v>
      </c>
      <c r="D59" s="4">
        <v>21631111.800000001</v>
      </c>
    </row>
    <row r="60" spans="1:4" x14ac:dyDescent="0.3">
      <c r="A60" t="s">
        <v>17</v>
      </c>
      <c r="B60" t="s">
        <v>101</v>
      </c>
      <c r="C60">
        <f t="shared" si="3"/>
        <v>1</v>
      </c>
      <c r="D60" s="4">
        <v>9999999999999</v>
      </c>
    </row>
    <row r="61" spans="1:4" x14ac:dyDescent="0.3">
      <c r="A61" t="s">
        <v>17</v>
      </c>
      <c r="B61" t="s">
        <v>101</v>
      </c>
      <c r="C61">
        <f t="shared" si="3"/>
        <v>2</v>
      </c>
      <c r="D61" s="4">
        <v>21631111.800000001</v>
      </c>
    </row>
    <row r="62" spans="1:4" x14ac:dyDescent="0.3">
      <c r="A62" t="s">
        <v>17</v>
      </c>
      <c r="B62" t="s">
        <v>101</v>
      </c>
      <c r="C62">
        <f t="shared" si="3"/>
        <v>3</v>
      </c>
      <c r="D62" s="4">
        <v>21631111.800000001</v>
      </c>
    </row>
    <row r="63" spans="1:4" x14ac:dyDescent="0.3">
      <c r="A63" t="s">
        <v>17</v>
      </c>
      <c r="B63" t="s">
        <v>101</v>
      </c>
      <c r="C63">
        <f t="shared" si="3"/>
        <v>4</v>
      </c>
      <c r="D63" s="4">
        <v>21631111.800000001</v>
      </c>
    </row>
    <row r="64" spans="1:4" x14ac:dyDescent="0.3">
      <c r="A64" t="s">
        <v>17</v>
      </c>
      <c r="B64" t="s">
        <v>101</v>
      </c>
      <c r="C64">
        <f t="shared" si="3"/>
        <v>5</v>
      </c>
      <c r="D64" s="4">
        <v>21631111.800000001</v>
      </c>
    </row>
    <row r="65" spans="1:4" x14ac:dyDescent="0.3">
      <c r="A65" t="s">
        <v>17</v>
      </c>
      <c r="B65" t="s">
        <v>101</v>
      </c>
      <c r="C65">
        <f t="shared" si="3"/>
        <v>6</v>
      </c>
      <c r="D65" s="4">
        <v>21631111.800000001</v>
      </c>
    </row>
    <row r="66" spans="1:4" x14ac:dyDescent="0.3">
      <c r="A66" t="s">
        <v>17</v>
      </c>
      <c r="B66" t="s">
        <v>101</v>
      </c>
      <c r="C66">
        <f t="shared" si="3"/>
        <v>7</v>
      </c>
      <c r="D66" s="4">
        <v>21631111.800000001</v>
      </c>
    </row>
    <row r="67" spans="1:4" x14ac:dyDescent="0.3">
      <c r="A67" t="s">
        <v>18</v>
      </c>
      <c r="B67" t="s">
        <v>101</v>
      </c>
      <c r="C67">
        <f t="shared" si="3"/>
        <v>1</v>
      </c>
      <c r="D67" s="4">
        <v>9999999999999</v>
      </c>
    </row>
    <row r="68" spans="1:4" x14ac:dyDescent="0.3">
      <c r="A68" t="s">
        <v>18</v>
      </c>
      <c r="B68" t="s">
        <v>101</v>
      </c>
      <c r="C68">
        <f t="shared" si="3"/>
        <v>2</v>
      </c>
      <c r="D68" s="4">
        <v>21631111.800000001</v>
      </c>
    </row>
    <row r="69" spans="1:4" x14ac:dyDescent="0.3">
      <c r="A69" t="s">
        <v>18</v>
      </c>
      <c r="B69" t="s">
        <v>101</v>
      </c>
      <c r="C69">
        <f t="shared" si="3"/>
        <v>3</v>
      </c>
      <c r="D69" s="4">
        <v>21631111.800000001</v>
      </c>
    </row>
    <row r="70" spans="1:4" x14ac:dyDescent="0.3">
      <c r="A70" t="s">
        <v>18</v>
      </c>
      <c r="B70" t="s">
        <v>101</v>
      </c>
      <c r="C70">
        <f t="shared" si="3"/>
        <v>4</v>
      </c>
      <c r="D70" s="4">
        <v>21631111.800000001</v>
      </c>
    </row>
    <row r="71" spans="1:4" x14ac:dyDescent="0.3">
      <c r="A71" t="s">
        <v>18</v>
      </c>
      <c r="B71" t="s">
        <v>101</v>
      </c>
      <c r="C71">
        <f t="shared" si="3"/>
        <v>5</v>
      </c>
      <c r="D71" s="4">
        <v>21631111.800000001</v>
      </c>
    </row>
    <row r="72" spans="1:4" x14ac:dyDescent="0.3">
      <c r="A72" t="s">
        <v>18</v>
      </c>
      <c r="B72" t="s">
        <v>101</v>
      </c>
      <c r="C72">
        <f t="shared" ref="C72:C82" si="4">C65</f>
        <v>6</v>
      </c>
      <c r="D72" s="4">
        <v>21631111.800000001</v>
      </c>
    </row>
    <row r="73" spans="1:4" x14ac:dyDescent="0.3">
      <c r="A73" t="s">
        <v>18</v>
      </c>
      <c r="B73" t="s">
        <v>101</v>
      </c>
      <c r="C73">
        <f t="shared" si="4"/>
        <v>7</v>
      </c>
      <c r="D73" s="4">
        <v>21631111.800000001</v>
      </c>
    </row>
    <row r="74" spans="1:4" x14ac:dyDescent="0.3">
      <c r="A74" t="s">
        <v>21</v>
      </c>
      <c r="B74" t="s">
        <v>101</v>
      </c>
      <c r="C74">
        <f t="shared" si="4"/>
        <v>1</v>
      </c>
      <c r="D74" s="4">
        <v>9999999999999</v>
      </c>
    </row>
    <row r="75" spans="1:4" x14ac:dyDescent="0.3">
      <c r="A75" t="s">
        <v>21</v>
      </c>
      <c r="B75" t="s">
        <v>101</v>
      </c>
      <c r="C75">
        <f t="shared" si="4"/>
        <v>2</v>
      </c>
      <c r="D75" s="4">
        <v>21631111.800000001</v>
      </c>
    </row>
    <row r="76" spans="1:4" x14ac:dyDescent="0.3">
      <c r="A76" t="s">
        <v>21</v>
      </c>
      <c r="B76" t="s">
        <v>101</v>
      </c>
      <c r="C76">
        <f t="shared" si="4"/>
        <v>3</v>
      </c>
      <c r="D76" s="4">
        <v>21631111.800000001</v>
      </c>
    </row>
    <row r="77" spans="1:4" x14ac:dyDescent="0.3">
      <c r="A77" t="s">
        <v>21</v>
      </c>
      <c r="B77" t="s">
        <v>101</v>
      </c>
      <c r="C77">
        <f t="shared" si="4"/>
        <v>4</v>
      </c>
      <c r="D77" s="4">
        <v>21631111.800000001</v>
      </c>
    </row>
    <row r="78" spans="1:4" x14ac:dyDescent="0.3">
      <c r="A78" t="s">
        <v>21</v>
      </c>
      <c r="B78" t="s">
        <v>101</v>
      </c>
      <c r="C78">
        <f t="shared" si="4"/>
        <v>5</v>
      </c>
      <c r="D78" s="4">
        <v>21631111.800000001</v>
      </c>
    </row>
    <row r="79" spans="1:4" x14ac:dyDescent="0.3">
      <c r="A79" t="s">
        <v>21</v>
      </c>
      <c r="B79" t="s">
        <v>101</v>
      </c>
      <c r="C79">
        <f t="shared" si="4"/>
        <v>6</v>
      </c>
      <c r="D79" s="4">
        <v>21631111.800000001</v>
      </c>
    </row>
    <row r="80" spans="1:4" x14ac:dyDescent="0.3">
      <c r="A80" t="s">
        <v>21</v>
      </c>
      <c r="B80" t="s">
        <v>101</v>
      </c>
      <c r="C80">
        <f t="shared" si="4"/>
        <v>7</v>
      </c>
      <c r="D80" s="4">
        <v>21631111.800000001</v>
      </c>
    </row>
    <row r="81" spans="1:4" x14ac:dyDescent="0.3">
      <c r="A81" t="s">
        <v>23</v>
      </c>
      <c r="B81" t="s">
        <v>101</v>
      </c>
      <c r="C81">
        <f t="shared" si="4"/>
        <v>1</v>
      </c>
      <c r="D81" s="4">
        <v>9999999999999</v>
      </c>
    </row>
    <row r="82" spans="1:4" x14ac:dyDescent="0.3">
      <c r="A82" t="s">
        <v>23</v>
      </c>
      <c r="B82" t="s">
        <v>101</v>
      </c>
      <c r="C82">
        <f t="shared" si="4"/>
        <v>2</v>
      </c>
      <c r="D82" s="4">
        <v>21631111.800000001</v>
      </c>
    </row>
    <row r="83" spans="1:4" x14ac:dyDescent="0.3">
      <c r="A83" t="s">
        <v>23</v>
      </c>
      <c r="B83" t="s">
        <v>101</v>
      </c>
      <c r="C83">
        <f t="shared" ref="C83:C129" si="5">C76</f>
        <v>3</v>
      </c>
      <c r="D83" s="4">
        <v>21631111.800000001</v>
      </c>
    </row>
    <row r="84" spans="1:4" x14ac:dyDescent="0.3">
      <c r="A84" t="s">
        <v>23</v>
      </c>
      <c r="B84" t="s">
        <v>101</v>
      </c>
      <c r="C84">
        <f t="shared" si="5"/>
        <v>4</v>
      </c>
      <c r="D84" s="4">
        <v>21631111.800000001</v>
      </c>
    </row>
    <row r="85" spans="1:4" x14ac:dyDescent="0.3">
      <c r="A85" t="s">
        <v>23</v>
      </c>
      <c r="B85" t="s">
        <v>101</v>
      </c>
      <c r="C85">
        <f t="shared" si="5"/>
        <v>5</v>
      </c>
      <c r="D85" s="4">
        <v>21631111.800000001</v>
      </c>
    </row>
    <row r="86" spans="1:4" x14ac:dyDescent="0.3">
      <c r="A86" t="s">
        <v>23</v>
      </c>
      <c r="B86" t="s">
        <v>101</v>
      </c>
      <c r="C86">
        <f t="shared" si="5"/>
        <v>6</v>
      </c>
      <c r="D86" s="4">
        <v>21631111.800000001</v>
      </c>
    </row>
    <row r="87" spans="1:4" x14ac:dyDescent="0.3">
      <c r="A87" t="s">
        <v>23</v>
      </c>
      <c r="B87" t="s">
        <v>101</v>
      </c>
      <c r="C87">
        <f t="shared" si="5"/>
        <v>7</v>
      </c>
      <c r="D87" s="4">
        <v>21631111.800000001</v>
      </c>
    </row>
    <row r="88" spans="1:4" x14ac:dyDescent="0.3">
      <c r="A88" t="s">
        <v>27</v>
      </c>
      <c r="B88" t="s">
        <v>101</v>
      </c>
      <c r="C88">
        <f t="shared" si="5"/>
        <v>1</v>
      </c>
      <c r="D88" s="4">
        <v>9999999999999</v>
      </c>
    </row>
    <row r="89" spans="1:4" x14ac:dyDescent="0.3">
      <c r="A89" t="s">
        <v>27</v>
      </c>
      <c r="B89" t="s">
        <v>101</v>
      </c>
      <c r="C89">
        <f t="shared" si="5"/>
        <v>2</v>
      </c>
      <c r="D89" s="4">
        <v>21631111.800000001</v>
      </c>
    </row>
    <row r="90" spans="1:4" x14ac:dyDescent="0.3">
      <c r="A90" t="s">
        <v>27</v>
      </c>
      <c r="B90" t="s">
        <v>101</v>
      </c>
      <c r="C90">
        <f t="shared" si="5"/>
        <v>3</v>
      </c>
      <c r="D90" s="4">
        <v>21631111.800000001</v>
      </c>
    </row>
    <row r="91" spans="1:4" x14ac:dyDescent="0.3">
      <c r="A91" t="s">
        <v>27</v>
      </c>
      <c r="B91" t="s">
        <v>101</v>
      </c>
      <c r="C91">
        <f t="shared" si="5"/>
        <v>4</v>
      </c>
      <c r="D91" s="4">
        <v>21631111.800000001</v>
      </c>
    </row>
    <row r="92" spans="1:4" x14ac:dyDescent="0.3">
      <c r="A92" t="s">
        <v>27</v>
      </c>
      <c r="B92" t="s">
        <v>101</v>
      </c>
      <c r="C92">
        <f t="shared" si="5"/>
        <v>5</v>
      </c>
      <c r="D92" s="4">
        <v>21631111.800000001</v>
      </c>
    </row>
    <row r="93" spans="1:4" x14ac:dyDescent="0.3">
      <c r="A93" t="s">
        <v>27</v>
      </c>
      <c r="B93" t="s">
        <v>101</v>
      </c>
      <c r="C93">
        <f t="shared" si="5"/>
        <v>6</v>
      </c>
      <c r="D93" s="4">
        <v>21631111.800000001</v>
      </c>
    </row>
    <row r="94" spans="1:4" x14ac:dyDescent="0.3">
      <c r="A94" t="s">
        <v>27</v>
      </c>
      <c r="B94" t="s">
        <v>101</v>
      </c>
      <c r="C94">
        <f t="shared" si="5"/>
        <v>7</v>
      </c>
      <c r="D94" s="4">
        <v>21631111.800000001</v>
      </c>
    </row>
    <row r="95" spans="1:4" x14ac:dyDescent="0.3">
      <c r="A95" t="s">
        <v>33</v>
      </c>
      <c r="B95" t="s">
        <v>101</v>
      </c>
      <c r="C95">
        <f t="shared" si="5"/>
        <v>1</v>
      </c>
      <c r="D95" s="4">
        <v>9999999999999</v>
      </c>
    </row>
    <row r="96" spans="1:4" x14ac:dyDescent="0.3">
      <c r="A96" t="s">
        <v>33</v>
      </c>
      <c r="B96" t="s">
        <v>101</v>
      </c>
      <c r="C96">
        <f t="shared" si="5"/>
        <v>2</v>
      </c>
      <c r="D96" s="4">
        <v>21631111.800000001</v>
      </c>
    </row>
    <row r="97" spans="1:4" x14ac:dyDescent="0.3">
      <c r="A97" t="s">
        <v>33</v>
      </c>
      <c r="B97" t="s">
        <v>101</v>
      </c>
      <c r="C97">
        <f t="shared" si="5"/>
        <v>3</v>
      </c>
      <c r="D97" s="4">
        <v>21631111.800000001</v>
      </c>
    </row>
    <row r="98" spans="1:4" x14ac:dyDescent="0.3">
      <c r="A98" t="s">
        <v>33</v>
      </c>
      <c r="B98" t="s">
        <v>101</v>
      </c>
      <c r="C98">
        <f t="shared" si="5"/>
        <v>4</v>
      </c>
      <c r="D98" s="4">
        <v>21631111.800000001</v>
      </c>
    </row>
    <row r="99" spans="1:4" x14ac:dyDescent="0.3">
      <c r="A99" t="s">
        <v>33</v>
      </c>
      <c r="B99" t="s">
        <v>101</v>
      </c>
      <c r="C99">
        <f t="shared" si="5"/>
        <v>5</v>
      </c>
      <c r="D99" s="4">
        <v>21631111.800000001</v>
      </c>
    </row>
    <row r="100" spans="1:4" x14ac:dyDescent="0.3">
      <c r="A100" t="s">
        <v>33</v>
      </c>
      <c r="B100" t="s">
        <v>101</v>
      </c>
      <c r="C100">
        <f t="shared" si="5"/>
        <v>6</v>
      </c>
      <c r="D100" s="4">
        <v>21631111.800000001</v>
      </c>
    </row>
    <row r="101" spans="1:4" x14ac:dyDescent="0.3">
      <c r="A101" t="s">
        <v>33</v>
      </c>
      <c r="B101" t="s">
        <v>101</v>
      </c>
      <c r="C101">
        <f t="shared" si="5"/>
        <v>7</v>
      </c>
      <c r="D101" s="4">
        <v>21631111.800000001</v>
      </c>
    </row>
    <row r="102" spans="1:4" x14ac:dyDescent="0.3">
      <c r="A102" t="s">
        <v>34</v>
      </c>
      <c r="B102" t="s">
        <v>101</v>
      </c>
      <c r="C102">
        <f t="shared" si="5"/>
        <v>1</v>
      </c>
      <c r="D102" s="4">
        <v>9999999999999</v>
      </c>
    </row>
    <row r="103" spans="1:4" x14ac:dyDescent="0.3">
      <c r="A103" t="s">
        <v>34</v>
      </c>
      <c r="B103" t="s">
        <v>101</v>
      </c>
      <c r="C103">
        <f t="shared" si="5"/>
        <v>2</v>
      </c>
      <c r="D103" s="4">
        <v>21631111.800000001</v>
      </c>
    </row>
    <row r="104" spans="1:4" x14ac:dyDescent="0.3">
      <c r="A104" t="s">
        <v>34</v>
      </c>
      <c r="B104" t="s">
        <v>101</v>
      </c>
      <c r="C104">
        <f t="shared" si="5"/>
        <v>3</v>
      </c>
      <c r="D104" s="4">
        <v>21631111.800000001</v>
      </c>
    </row>
    <row r="105" spans="1:4" x14ac:dyDescent="0.3">
      <c r="A105" t="s">
        <v>34</v>
      </c>
      <c r="B105" t="s">
        <v>101</v>
      </c>
      <c r="C105">
        <f t="shared" si="5"/>
        <v>4</v>
      </c>
      <c r="D105" s="4">
        <v>21631111.800000001</v>
      </c>
    </row>
    <row r="106" spans="1:4" x14ac:dyDescent="0.3">
      <c r="A106" t="s">
        <v>34</v>
      </c>
      <c r="B106" t="s">
        <v>101</v>
      </c>
      <c r="C106">
        <f t="shared" si="5"/>
        <v>5</v>
      </c>
      <c r="D106" s="4">
        <v>21631111.800000001</v>
      </c>
    </row>
    <row r="107" spans="1:4" x14ac:dyDescent="0.3">
      <c r="A107" t="s">
        <v>34</v>
      </c>
      <c r="B107" t="s">
        <v>101</v>
      </c>
      <c r="C107">
        <f t="shared" si="5"/>
        <v>6</v>
      </c>
      <c r="D107" s="4">
        <v>21631111.800000001</v>
      </c>
    </row>
    <row r="108" spans="1:4" x14ac:dyDescent="0.3">
      <c r="A108" t="s">
        <v>34</v>
      </c>
      <c r="B108" t="s">
        <v>101</v>
      </c>
      <c r="C108">
        <f t="shared" si="5"/>
        <v>7</v>
      </c>
      <c r="D108" s="4">
        <v>21631111.800000001</v>
      </c>
    </row>
    <row r="109" spans="1:4" x14ac:dyDescent="0.3">
      <c r="A109" t="s">
        <v>35</v>
      </c>
      <c r="B109" t="s">
        <v>101</v>
      </c>
      <c r="C109">
        <f t="shared" si="5"/>
        <v>1</v>
      </c>
      <c r="D109" s="4">
        <v>9999999999999</v>
      </c>
    </row>
    <row r="110" spans="1:4" x14ac:dyDescent="0.3">
      <c r="A110" t="s">
        <v>35</v>
      </c>
      <c r="B110" t="s">
        <v>101</v>
      </c>
      <c r="C110">
        <f t="shared" si="5"/>
        <v>2</v>
      </c>
      <c r="D110" s="4">
        <v>21631111.800000001</v>
      </c>
    </row>
    <row r="111" spans="1:4" x14ac:dyDescent="0.3">
      <c r="A111" t="s">
        <v>35</v>
      </c>
      <c r="B111" t="s">
        <v>101</v>
      </c>
      <c r="C111">
        <f t="shared" si="5"/>
        <v>3</v>
      </c>
      <c r="D111" s="4">
        <v>21631111.800000001</v>
      </c>
    </row>
    <row r="112" spans="1:4" x14ac:dyDescent="0.3">
      <c r="A112" t="s">
        <v>35</v>
      </c>
      <c r="B112" t="s">
        <v>101</v>
      </c>
      <c r="C112">
        <f t="shared" si="5"/>
        <v>4</v>
      </c>
      <c r="D112" s="4">
        <v>21631111.800000001</v>
      </c>
    </row>
    <row r="113" spans="1:4" x14ac:dyDescent="0.3">
      <c r="A113" t="s">
        <v>35</v>
      </c>
      <c r="B113" t="s">
        <v>101</v>
      </c>
      <c r="C113">
        <f t="shared" si="5"/>
        <v>5</v>
      </c>
      <c r="D113" s="4">
        <v>21631111.800000001</v>
      </c>
    </row>
    <row r="114" spans="1:4" x14ac:dyDescent="0.3">
      <c r="A114" t="s">
        <v>35</v>
      </c>
      <c r="B114" t="s">
        <v>101</v>
      </c>
      <c r="C114">
        <f t="shared" si="5"/>
        <v>6</v>
      </c>
      <c r="D114" s="4">
        <v>21631111.800000001</v>
      </c>
    </row>
    <row r="115" spans="1:4" x14ac:dyDescent="0.3">
      <c r="A115" t="s">
        <v>35</v>
      </c>
      <c r="B115" t="s">
        <v>101</v>
      </c>
      <c r="C115">
        <f t="shared" si="5"/>
        <v>7</v>
      </c>
      <c r="D115" s="4">
        <v>21631111.800000001</v>
      </c>
    </row>
    <row r="116" spans="1:4" x14ac:dyDescent="0.3">
      <c r="A116" t="s">
        <v>22</v>
      </c>
      <c r="B116" t="s">
        <v>101</v>
      </c>
      <c r="C116">
        <f t="shared" si="5"/>
        <v>1</v>
      </c>
      <c r="D116" s="4">
        <v>9999999999999</v>
      </c>
    </row>
    <row r="117" spans="1:4" x14ac:dyDescent="0.3">
      <c r="A117" t="s">
        <v>22</v>
      </c>
      <c r="B117" t="s">
        <v>101</v>
      </c>
      <c r="C117">
        <f t="shared" si="5"/>
        <v>2</v>
      </c>
      <c r="D117" s="4">
        <v>21631111.800000001</v>
      </c>
    </row>
    <row r="118" spans="1:4" x14ac:dyDescent="0.3">
      <c r="A118" t="s">
        <v>22</v>
      </c>
      <c r="B118" t="s">
        <v>101</v>
      </c>
      <c r="C118">
        <f t="shared" si="5"/>
        <v>3</v>
      </c>
      <c r="D118" s="4">
        <v>21631111.800000001</v>
      </c>
    </row>
    <row r="119" spans="1:4" x14ac:dyDescent="0.3">
      <c r="A119" t="s">
        <v>22</v>
      </c>
      <c r="B119" t="s">
        <v>101</v>
      </c>
      <c r="C119">
        <f t="shared" si="5"/>
        <v>4</v>
      </c>
      <c r="D119" s="4">
        <v>21631111.800000001</v>
      </c>
    </row>
    <row r="120" spans="1:4" x14ac:dyDescent="0.3">
      <c r="A120" t="s">
        <v>22</v>
      </c>
      <c r="B120" t="s">
        <v>101</v>
      </c>
      <c r="C120">
        <f t="shared" si="5"/>
        <v>5</v>
      </c>
      <c r="D120" s="4">
        <v>21631111.800000001</v>
      </c>
    </row>
    <row r="121" spans="1:4" x14ac:dyDescent="0.3">
      <c r="A121" t="s">
        <v>22</v>
      </c>
      <c r="B121" t="s">
        <v>101</v>
      </c>
      <c r="C121">
        <f t="shared" si="5"/>
        <v>6</v>
      </c>
      <c r="D121" s="4">
        <v>21631111.800000001</v>
      </c>
    </row>
    <row r="122" spans="1:4" x14ac:dyDescent="0.3">
      <c r="A122" t="s">
        <v>22</v>
      </c>
      <c r="B122" t="s">
        <v>101</v>
      </c>
      <c r="C122">
        <f t="shared" si="5"/>
        <v>7</v>
      </c>
      <c r="D122" s="4">
        <v>21631111.800000001</v>
      </c>
    </row>
    <row r="123" spans="1:4" x14ac:dyDescent="0.3">
      <c r="A123" t="s">
        <v>14</v>
      </c>
      <c r="B123" t="s">
        <v>101</v>
      </c>
      <c r="C123">
        <f t="shared" si="5"/>
        <v>1</v>
      </c>
      <c r="D123" s="4">
        <v>9999999999999</v>
      </c>
    </row>
    <row r="124" spans="1:4" x14ac:dyDescent="0.3">
      <c r="A124" t="s">
        <v>14</v>
      </c>
      <c r="B124" t="s">
        <v>101</v>
      </c>
      <c r="C124">
        <f t="shared" si="5"/>
        <v>2</v>
      </c>
      <c r="D124" s="4">
        <v>21631111.800000001</v>
      </c>
    </row>
    <row r="125" spans="1:4" x14ac:dyDescent="0.3">
      <c r="A125" t="s">
        <v>14</v>
      </c>
      <c r="B125" t="s">
        <v>101</v>
      </c>
      <c r="C125">
        <f t="shared" si="5"/>
        <v>3</v>
      </c>
      <c r="D125" s="4">
        <v>21631111.800000001</v>
      </c>
    </row>
    <row r="126" spans="1:4" x14ac:dyDescent="0.3">
      <c r="A126" t="s">
        <v>14</v>
      </c>
      <c r="B126" t="s">
        <v>101</v>
      </c>
      <c r="C126">
        <f t="shared" si="5"/>
        <v>4</v>
      </c>
      <c r="D126" s="4">
        <v>21631111.800000001</v>
      </c>
    </row>
    <row r="127" spans="1:4" x14ac:dyDescent="0.3">
      <c r="A127" t="s">
        <v>14</v>
      </c>
      <c r="B127" t="s">
        <v>101</v>
      </c>
      <c r="C127">
        <f t="shared" si="5"/>
        <v>5</v>
      </c>
      <c r="D127" s="4">
        <v>21631111.800000001</v>
      </c>
    </row>
    <row r="128" spans="1:4" x14ac:dyDescent="0.3">
      <c r="A128" t="s">
        <v>14</v>
      </c>
      <c r="B128" t="s">
        <v>101</v>
      </c>
      <c r="C128">
        <f t="shared" si="5"/>
        <v>6</v>
      </c>
      <c r="D128" s="4">
        <v>21631111.800000001</v>
      </c>
    </row>
    <row r="129" spans="1:4" x14ac:dyDescent="0.3">
      <c r="A129" t="s">
        <v>14</v>
      </c>
      <c r="B129" t="s">
        <v>101</v>
      </c>
      <c r="C129">
        <f t="shared" si="5"/>
        <v>7</v>
      </c>
      <c r="D129" s="4">
        <v>21631111.800000001</v>
      </c>
    </row>
    <row r="130" spans="1:4" x14ac:dyDescent="0.3">
      <c r="D130" s="1"/>
    </row>
    <row r="131" spans="1:4" x14ac:dyDescent="0.3">
      <c r="D131" s="1"/>
    </row>
    <row r="132" spans="1:4" x14ac:dyDescent="0.3">
      <c r="D132" s="1"/>
    </row>
    <row r="133" spans="1:4" x14ac:dyDescent="0.3">
      <c r="D133" s="1"/>
    </row>
    <row r="134" spans="1:4" x14ac:dyDescent="0.3">
      <c r="D134" s="1"/>
    </row>
    <row r="135" spans="1:4" x14ac:dyDescent="0.3">
      <c r="D135" s="1"/>
    </row>
    <row r="136" spans="1:4" x14ac:dyDescent="0.3">
      <c r="D136" s="1"/>
    </row>
    <row r="137" spans="1:4" x14ac:dyDescent="0.3">
      <c r="D137" s="1"/>
    </row>
    <row r="138" spans="1:4" x14ac:dyDescent="0.3">
      <c r="D138" s="1"/>
    </row>
    <row r="139" spans="1:4" x14ac:dyDescent="0.3">
      <c r="D139" s="1"/>
    </row>
    <row r="140" spans="1:4" x14ac:dyDescent="0.3">
      <c r="D140" s="1"/>
    </row>
    <row r="141" spans="1:4" x14ac:dyDescent="0.3">
      <c r="D141" s="1"/>
    </row>
    <row r="142" spans="1:4" x14ac:dyDescent="0.3">
      <c r="D142" s="1"/>
    </row>
    <row r="143" spans="1:4" x14ac:dyDescent="0.3">
      <c r="D143" s="1"/>
    </row>
    <row r="144" spans="1:4" x14ac:dyDescent="0.3">
      <c r="D144" s="1"/>
    </row>
    <row r="145" spans="4:4" x14ac:dyDescent="0.3">
      <c r="D145" s="1"/>
    </row>
    <row r="146" spans="4:4" x14ac:dyDescent="0.3">
      <c r="D146" s="1"/>
    </row>
    <row r="147" spans="4:4" x14ac:dyDescent="0.3">
      <c r="D147" s="1"/>
    </row>
    <row r="148" spans="4:4" x14ac:dyDescent="0.3">
      <c r="D148" s="1"/>
    </row>
    <row r="149" spans="4:4" x14ac:dyDescent="0.3">
      <c r="D149" s="1"/>
    </row>
    <row r="150" spans="4:4" x14ac:dyDescent="0.3">
      <c r="D150" s="1"/>
    </row>
    <row r="151" spans="4:4" x14ac:dyDescent="0.3">
      <c r="D151" s="1"/>
    </row>
    <row r="152" spans="4:4" x14ac:dyDescent="0.3">
      <c r="D152" s="1"/>
    </row>
    <row r="153" spans="4:4" x14ac:dyDescent="0.3">
      <c r="D153" s="1"/>
    </row>
    <row r="154" spans="4:4" x14ac:dyDescent="0.3">
      <c r="D154" s="1"/>
    </row>
    <row r="155" spans="4:4" x14ac:dyDescent="0.3">
      <c r="D155" s="1"/>
    </row>
    <row r="156" spans="4:4" x14ac:dyDescent="0.3">
      <c r="D156" s="1"/>
    </row>
    <row r="157" spans="4:4" x14ac:dyDescent="0.3">
      <c r="D157" s="1"/>
    </row>
    <row r="158" spans="4:4" x14ac:dyDescent="0.3">
      <c r="D158" s="1"/>
    </row>
    <row r="159" spans="4:4" x14ac:dyDescent="0.3">
      <c r="D159" s="1"/>
    </row>
    <row r="160" spans="4:4" x14ac:dyDescent="0.3">
      <c r="D160" s="1"/>
    </row>
    <row r="161" spans="4:4" x14ac:dyDescent="0.3">
      <c r="D161" s="1"/>
    </row>
    <row r="162" spans="4:4" x14ac:dyDescent="0.3">
      <c r="D162" s="1"/>
    </row>
    <row r="163" spans="4:4" x14ac:dyDescent="0.3">
      <c r="D163" s="1"/>
    </row>
    <row r="164" spans="4:4" x14ac:dyDescent="0.3">
      <c r="D164" s="1"/>
    </row>
    <row r="165" spans="4:4" x14ac:dyDescent="0.3">
      <c r="D165" s="1"/>
    </row>
    <row r="166" spans="4:4" x14ac:dyDescent="0.3">
      <c r="D166" s="1"/>
    </row>
    <row r="167" spans="4:4" x14ac:dyDescent="0.3">
      <c r="D167" s="1"/>
    </row>
    <row r="168" spans="4:4" x14ac:dyDescent="0.3">
      <c r="D168" s="1"/>
    </row>
    <row r="169" spans="4:4" x14ac:dyDescent="0.3">
      <c r="D169" s="1"/>
    </row>
    <row r="170" spans="4:4" x14ac:dyDescent="0.3">
      <c r="D170" s="1"/>
    </row>
    <row r="171" spans="4:4" x14ac:dyDescent="0.3">
      <c r="D171" s="1"/>
    </row>
    <row r="172" spans="4:4" x14ac:dyDescent="0.3">
      <c r="D172" s="1"/>
    </row>
    <row r="173" spans="4:4" x14ac:dyDescent="0.3">
      <c r="D173" s="1"/>
    </row>
    <row r="174" spans="4:4" x14ac:dyDescent="0.3">
      <c r="D174" s="1"/>
    </row>
    <row r="175" spans="4:4" x14ac:dyDescent="0.3">
      <c r="D175" s="1"/>
    </row>
    <row r="176" spans="4:4" x14ac:dyDescent="0.3">
      <c r="D176" s="1"/>
    </row>
    <row r="177" spans="4:4" x14ac:dyDescent="0.3">
      <c r="D177" s="1"/>
    </row>
    <row r="178" spans="4:4" x14ac:dyDescent="0.3">
      <c r="D178" s="1"/>
    </row>
    <row r="179" spans="4:4" x14ac:dyDescent="0.3">
      <c r="D179" s="1"/>
    </row>
    <row r="180" spans="4:4" x14ac:dyDescent="0.3">
      <c r="D180" s="1"/>
    </row>
    <row r="181" spans="4:4" x14ac:dyDescent="0.3">
      <c r="D181" s="1"/>
    </row>
    <row r="182" spans="4:4" x14ac:dyDescent="0.3">
      <c r="D182" s="1"/>
    </row>
    <row r="183" spans="4:4" x14ac:dyDescent="0.3">
      <c r="D183" s="1"/>
    </row>
    <row r="184" spans="4:4" x14ac:dyDescent="0.3">
      <c r="D184" s="1"/>
    </row>
    <row r="185" spans="4:4" x14ac:dyDescent="0.3">
      <c r="D185" s="1"/>
    </row>
    <row r="186" spans="4:4" x14ac:dyDescent="0.3">
      <c r="D186" s="1"/>
    </row>
    <row r="187" spans="4:4" x14ac:dyDescent="0.3">
      <c r="D187" s="1"/>
    </row>
    <row r="188" spans="4:4" x14ac:dyDescent="0.3">
      <c r="D188" s="1"/>
    </row>
    <row r="189" spans="4:4" x14ac:dyDescent="0.3">
      <c r="D189" s="1"/>
    </row>
    <row r="190" spans="4:4" x14ac:dyDescent="0.3">
      <c r="D190" s="1"/>
    </row>
    <row r="191" spans="4:4" x14ac:dyDescent="0.3">
      <c r="D191" s="1"/>
    </row>
    <row r="192" spans="4:4" x14ac:dyDescent="0.3">
      <c r="D192" s="1"/>
    </row>
    <row r="193" spans="4:4" x14ac:dyDescent="0.3">
      <c r="D193" s="1"/>
    </row>
    <row r="194" spans="4:4" x14ac:dyDescent="0.3">
      <c r="D194" s="1"/>
    </row>
    <row r="195" spans="4:4" x14ac:dyDescent="0.3">
      <c r="D195" s="1"/>
    </row>
    <row r="196" spans="4:4" x14ac:dyDescent="0.3">
      <c r="D196" s="1"/>
    </row>
    <row r="197" spans="4:4" x14ac:dyDescent="0.3">
      <c r="D197" s="1"/>
    </row>
    <row r="198" spans="4:4" x14ac:dyDescent="0.3">
      <c r="D198" s="1"/>
    </row>
    <row r="199" spans="4:4" x14ac:dyDescent="0.3">
      <c r="D199" s="1"/>
    </row>
    <row r="200" spans="4:4" x14ac:dyDescent="0.3">
      <c r="D200" s="1"/>
    </row>
    <row r="201" spans="4:4" x14ac:dyDescent="0.3">
      <c r="D201" s="1"/>
    </row>
    <row r="202" spans="4:4" x14ac:dyDescent="0.3">
      <c r="D202" s="1"/>
    </row>
    <row r="203" spans="4:4" x14ac:dyDescent="0.3">
      <c r="D203" s="1"/>
    </row>
    <row r="204" spans="4:4" x14ac:dyDescent="0.3">
      <c r="D204" s="1"/>
    </row>
    <row r="205" spans="4:4" x14ac:dyDescent="0.3">
      <c r="D205" s="1"/>
    </row>
    <row r="206" spans="4:4" x14ac:dyDescent="0.3">
      <c r="D206" s="1"/>
    </row>
    <row r="207" spans="4:4" x14ac:dyDescent="0.3">
      <c r="D207" s="1"/>
    </row>
    <row r="208" spans="4:4" x14ac:dyDescent="0.3">
      <c r="D208" s="1"/>
    </row>
    <row r="209" spans="4:4" x14ac:dyDescent="0.3">
      <c r="D209" s="1"/>
    </row>
    <row r="210" spans="4:4" x14ac:dyDescent="0.3">
      <c r="D210" s="1"/>
    </row>
    <row r="211" spans="4:4" x14ac:dyDescent="0.3">
      <c r="D211" s="1"/>
    </row>
    <row r="212" spans="4:4" x14ac:dyDescent="0.3">
      <c r="D212" s="1"/>
    </row>
    <row r="213" spans="4:4" x14ac:dyDescent="0.3">
      <c r="D213" s="1"/>
    </row>
    <row r="214" spans="4:4" x14ac:dyDescent="0.3">
      <c r="D214" s="1"/>
    </row>
    <row r="215" spans="4:4" x14ac:dyDescent="0.3">
      <c r="D215" s="1"/>
    </row>
    <row r="216" spans="4:4" x14ac:dyDescent="0.3">
      <c r="D216" s="1"/>
    </row>
    <row r="217" spans="4:4" x14ac:dyDescent="0.3">
      <c r="D217" s="1"/>
    </row>
    <row r="218" spans="4:4" x14ac:dyDescent="0.3">
      <c r="D218" s="1"/>
    </row>
    <row r="219" spans="4:4" x14ac:dyDescent="0.3">
      <c r="D219" s="1"/>
    </row>
    <row r="220" spans="4:4" x14ac:dyDescent="0.3">
      <c r="D220" s="1"/>
    </row>
    <row r="221" spans="4:4" x14ac:dyDescent="0.3">
      <c r="D221" s="1"/>
    </row>
    <row r="222" spans="4:4" x14ac:dyDescent="0.3">
      <c r="D222" s="1"/>
    </row>
    <row r="223" spans="4:4" x14ac:dyDescent="0.3">
      <c r="D223" s="1"/>
    </row>
    <row r="224" spans="4:4" x14ac:dyDescent="0.3">
      <c r="D224" s="1"/>
    </row>
    <row r="225" spans="4:4" x14ac:dyDescent="0.3">
      <c r="D225" s="1"/>
    </row>
    <row r="226" spans="4:4" x14ac:dyDescent="0.3">
      <c r="D226" s="1"/>
    </row>
    <row r="227" spans="4:4" x14ac:dyDescent="0.3">
      <c r="D227" s="1"/>
    </row>
    <row r="228" spans="4:4" x14ac:dyDescent="0.3">
      <c r="D228" s="1"/>
    </row>
    <row r="229" spans="4:4" x14ac:dyDescent="0.3">
      <c r="D229" s="1"/>
    </row>
    <row r="230" spans="4:4" x14ac:dyDescent="0.3">
      <c r="D230" s="1"/>
    </row>
    <row r="231" spans="4:4" x14ac:dyDescent="0.3">
      <c r="D231" s="1"/>
    </row>
    <row r="232" spans="4:4" x14ac:dyDescent="0.3">
      <c r="D232" s="1"/>
    </row>
    <row r="233" spans="4:4" x14ac:dyDescent="0.3">
      <c r="D233" s="1"/>
    </row>
    <row r="234" spans="4:4" x14ac:dyDescent="0.3">
      <c r="D234" s="1"/>
    </row>
    <row r="235" spans="4:4" x14ac:dyDescent="0.3">
      <c r="D235" s="1"/>
    </row>
    <row r="236" spans="4:4" x14ac:dyDescent="0.3">
      <c r="D236" s="1"/>
    </row>
    <row r="237" spans="4:4" x14ac:dyDescent="0.3">
      <c r="D237" s="1"/>
    </row>
    <row r="238" spans="4:4" x14ac:dyDescent="0.3">
      <c r="D238" s="1"/>
    </row>
    <row r="239" spans="4:4" x14ac:dyDescent="0.3">
      <c r="D239" s="1"/>
    </row>
    <row r="240" spans="4:4" x14ac:dyDescent="0.3">
      <c r="D240" s="1"/>
    </row>
    <row r="241" spans="4:4" x14ac:dyDescent="0.3">
      <c r="D241" s="1"/>
    </row>
    <row r="242" spans="4:4" x14ac:dyDescent="0.3">
      <c r="D242" s="1"/>
    </row>
    <row r="243" spans="4:4" x14ac:dyDescent="0.3">
      <c r="D243" s="1"/>
    </row>
    <row r="244" spans="4:4" x14ac:dyDescent="0.3">
      <c r="D244" s="1"/>
    </row>
    <row r="245" spans="4:4" x14ac:dyDescent="0.3">
      <c r="D245" s="1"/>
    </row>
    <row r="246" spans="4:4" x14ac:dyDescent="0.3">
      <c r="D246" s="1"/>
    </row>
    <row r="247" spans="4:4" x14ac:dyDescent="0.3">
      <c r="D247" s="1"/>
    </row>
    <row r="248" spans="4:4" x14ac:dyDescent="0.3">
      <c r="D248" s="1"/>
    </row>
    <row r="249" spans="4:4" x14ac:dyDescent="0.3">
      <c r="D249" s="1"/>
    </row>
    <row r="250" spans="4:4" x14ac:dyDescent="0.3">
      <c r="D250" s="1"/>
    </row>
    <row r="251" spans="4:4" x14ac:dyDescent="0.3">
      <c r="D251" s="1"/>
    </row>
    <row r="252" spans="4:4" x14ac:dyDescent="0.3">
      <c r="D252" s="1"/>
    </row>
    <row r="253" spans="4:4" x14ac:dyDescent="0.3">
      <c r="D253" s="1"/>
    </row>
    <row r="254" spans="4:4" x14ac:dyDescent="0.3">
      <c r="D254" s="1"/>
    </row>
    <row r="255" spans="4:4" x14ac:dyDescent="0.3">
      <c r="D255" s="1"/>
    </row>
    <row r="256" spans="4:4" x14ac:dyDescent="0.3">
      <c r="D256" s="1"/>
    </row>
    <row r="257" spans="4:4" x14ac:dyDescent="0.3">
      <c r="D257" s="1"/>
    </row>
    <row r="258" spans="4:4" x14ac:dyDescent="0.3">
      <c r="D258" s="1"/>
    </row>
    <row r="259" spans="4:4" x14ac:dyDescent="0.3">
      <c r="D259" s="1"/>
    </row>
    <row r="260" spans="4:4" x14ac:dyDescent="0.3">
      <c r="D260" s="1"/>
    </row>
    <row r="261" spans="4:4" x14ac:dyDescent="0.3">
      <c r="D261" s="1"/>
    </row>
    <row r="262" spans="4:4" x14ac:dyDescent="0.3">
      <c r="D262" s="1"/>
    </row>
    <row r="263" spans="4:4" x14ac:dyDescent="0.3">
      <c r="D263" s="1"/>
    </row>
    <row r="264" spans="4:4" x14ac:dyDescent="0.3">
      <c r="D264" s="1"/>
    </row>
    <row r="265" spans="4:4" x14ac:dyDescent="0.3">
      <c r="D265" s="1"/>
    </row>
    <row r="266" spans="4:4" x14ac:dyDescent="0.3">
      <c r="D266" s="1"/>
    </row>
    <row r="267" spans="4:4" x14ac:dyDescent="0.3">
      <c r="D267" s="1"/>
    </row>
    <row r="268" spans="4:4" x14ac:dyDescent="0.3">
      <c r="D268" s="1"/>
    </row>
    <row r="269" spans="4:4" x14ac:dyDescent="0.3">
      <c r="D269" s="1"/>
    </row>
    <row r="270" spans="4:4" x14ac:dyDescent="0.3">
      <c r="D270" s="1"/>
    </row>
    <row r="271" spans="4:4" x14ac:dyDescent="0.3">
      <c r="D271" s="1"/>
    </row>
    <row r="272" spans="4:4" x14ac:dyDescent="0.3">
      <c r="D272" s="1"/>
    </row>
    <row r="273" spans="4:4" x14ac:dyDescent="0.3">
      <c r="D273" s="1"/>
    </row>
    <row r="274" spans="4:4" x14ac:dyDescent="0.3">
      <c r="D274" s="1"/>
    </row>
    <row r="275" spans="4:4" x14ac:dyDescent="0.3">
      <c r="D275" s="1"/>
    </row>
    <row r="276" spans="4:4" x14ac:dyDescent="0.3">
      <c r="D276" s="1"/>
    </row>
    <row r="277" spans="4:4" x14ac:dyDescent="0.3">
      <c r="D277" s="1"/>
    </row>
    <row r="278" spans="4:4" x14ac:dyDescent="0.3">
      <c r="D278" s="1"/>
    </row>
    <row r="279" spans="4:4" x14ac:dyDescent="0.3">
      <c r="D279" s="1"/>
    </row>
    <row r="280" spans="4:4" x14ac:dyDescent="0.3">
      <c r="D280" s="1"/>
    </row>
    <row r="281" spans="4:4" x14ac:dyDescent="0.3">
      <c r="D281" s="1"/>
    </row>
    <row r="282" spans="4:4" x14ac:dyDescent="0.3">
      <c r="D282" s="1"/>
    </row>
    <row r="283" spans="4:4" x14ac:dyDescent="0.3">
      <c r="D283" s="1"/>
    </row>
    <row r="284" spans="4:4" x14ac:dyDescent="0.3">
      <c r="D284" s="1"/>
    </row>
    <row r="285" spans="4:4" x14ac:dyDescent="0.3">
      <c r="D285" s="1"/>
    </row>
    <row r="286" spans="4:4" x14ac:dyDescent="0.3">
      <c r="D286" s="1"/>
    </row>
    <row r="287" spans="4:4" x14ac:dyDescent="0.3">
      <c r="D287" s="1"/>
    </row>
    <row r="288" spans="4:4" x14ac:dyDescent="0.3">
      <c r="D288" s="1"/>
    </row>
    <row r="289" spans="4:4" x14ac:dyDescent="0.3">
      <c r="D289" s="1"/>
    </row>
    <row r="290" spans="4:4" x14ac:dyDescent="0.3">
      <c r="D290" s="1"/>
    </row>
    <row r="291" spans="4:4" x14ac:dyDescent="0.3">
      <c r="D291" s="1"/>
    </row>
    <row r="292" spans="4:4" x14ac:dyDescent="0.3">
      <c r="D292" s="1"/>
    </row>
    <row r="293" spans="4:4" x14ac:dyDescent="0.3">
      <c r="D293" s="1"/>
    </row>
    <row r="294" spans="4:4" x14ac:dyDescent="0.3">
      <c r="D294" s="1"/>
    </row>
    <row r="295" spans="4:4" x14ac:dyDescent="0.3">
      <c r="D295" s="1"/>
    </row>
    <row r="296" spans="4:4" x14ac:dyDescent="0.3">
      <c r="D296" s="1"/>
    </row>
    <row r="297" spans="4:4" x14ac:dyDescent="0.3">
      <c r="D297" s="1"/>
    </row>
    <row r="298" spans="4:4" x14ac:dyDescent="0.3">
      <c r="D298" s="1"/>
    </row>
    <row r="299" spans="4:4" x14ac:dyDescent="0.3">
      <c r="D299" s="1"/>
    </row>
    <row r="300" spans="4:4" x14ac:dyDescent="0.3">
      <c r="D300" s="1"/>
    </row>
    <row r="301" spans="4:4" x14ac:dyDescent="0.3">
      <c r="D301" s="1"/>
    </row>
    <row r="302" spans="4:4" x14ac:dyDescent="0.3">
      <c r="D302" s="1"/>
    </row>
    <row r="303" spans="4:4" x14ac:dyDescent="0.3">
      <c r="D303" s="1"/>
    </row>
    <row r="304" spans="4:4" x14ac:dyDescent="0.3">
      <c r="D304" s="1"/>
    </row>
    <row r="305" spans="4:4" x14ac:dyDescent="0.3">
      <c r="D305" s="1"/>
    </row>
    <row r="306" spans="4:4" x14ac:dyDescent="0.3">
      <c r="D306" s="1"/>
    </row>
    <row r="307" spans="4:4" x14ac:dyDescent="0.3">
      <c r="D307" s="1"/>
    </row>
    <row r="308" spans="4:4" x14ac:dyDescent="0.3">
      <c r="D308" s="1"/>
    </row>
    <row r="309" spans="4:4" x14ac:dyDescent="0.3">
      <c r="D309" s="1"/>
    </row>
    <row r="310" spans="4:4" x14ac:dyDescent="0.3">
      <c r="D310" s="1"/>
    </row>
    <row r="311" spans="4:4" x14ac:dyDescent="0.3">
      <c r="D311" s="1"/>
    </row>
    <row r="312" spans="4:4" x14ac:dyDescent="0.3">
      <c r="D312" s="1"/>
    </row>
    <row r="313" spans="4:4" x14ac:dyDescent="0.3">
      <c r="D313" s="1"/>
    </row>
    <row r="314" spans="4:4" x14ac:dyDescent="0.3">
      <c r="D314" s="1"/>
    </row>
    <row r="315" spans="4:4" x14ac:dyDescent="0.3">
      <c r="D315" s="1"/>
    </row>
    <row r="316" spans="4:4" x14ac:dyDescent="0.3">
      <c r="D316" s="1"/>
    </row>
    <row r="317" spans="4:4" x14ac:dyDescent="0.3">
      <c r="D317" s="1"/>
    </row>
    <row r="318" spans="4:4" x14ac:dyDescent="0.3">
      <c r="D318" s="1"/>
    </row>
    <row r="319" spans="4:4" x14ac:dyDescent="0.3">
      <c r="D319" s="1"/>
    </row>
    <row r="320" spans="4:4" x14ac:dyDescent="0.3">
      <c r="D320" s="1"/>
    </row>
    <row r="321" spans="4:4" x14ac:dyDescent="0.3">
      <c r="D321" s="1"/>
    </row>
    <row r="322" spans="4:4" x14ac:dyDescent="0.3">
      <c r="D322" s="1"/>
    </row>
    <row r="323" spans="4:4" x14ac:dyDescent="0.3">
      <c r="D323" s="1"/>
    </row>
    <row r="324" spans="4:4" x14ac:dyDescent="0.3">
      <c r="D324" s="1"/>
    </row>
    <row r="325" spans="4:4" x14ac:dyDescent="0.3">
      <c r="D325" s="1"/>
    </row>
    <row r="326" spans="4:4" x14ac:dyDescent="0.3">
      <c r="D326" s="1"/>
    </row>
    <row r="327" spans="4:4" x14ac:dyDescent="0.3">
      <c r="D327" s="1"/>
    </row>
    <row r="328" spans="4:4" x14ac:dyDescent="0.3">
      <c r="D328" s="1"/>
    </row>
    <row r="329" spans="4:4" x14ac:dyDescent="0.3">
      <c r="D329" s="1"/>
    </row>
    <row r="330" spans="4:4" x14ac:dyDescent="0.3">
      <c r="D330" s="1"/>
    </row>
    <row r="331" spans="4:4" x14ac:dyDescent="0.3">
      <c r="D331" s="1"/>
    </row>
    <row r="332" spans="4:4" x14ac:dyDescent="0.3">
      <c r="D332" s="1"/>
    </row>
    <row r="333" spans="4:4" x14ac:dyDescent="0.3">
      <c r="D333" s="1"/>
    </row>
    <row r="334" spans="4:4" x14ac:dyDescent="0.3">
      <c r="D334" s="1"/>
    </row>
    <row r="335" spans="4:4" x14ac:dyDescent="0.3">
      <c r="D335" s="1"/>
    </row>
    <row r="336" spans="4:4" x14ac:dyDescent="0.3">
      <c r="D336" s="1"/>
    </row>
    <row r="337" spans="4:4" x14ac:dyDescent="0.3">
      <c r="D337" s="1"/>
    </row>
    <row r="338" spans="4:4" x14ac:dyDescent="0.3">
      <c r="D338" s="1"/>
    </row>
    <row r="339" spans="4:4" x14ac:dyDescent="0.3">
      <c r="D339" s="1"/>
    </row>
    <row r="340" spans="4:4" x14ac:dyDescent="0.3">
      <c r="D340" s="1"/>
    </row>
    <row r="341" spans="4:4" x14ac:dyDescent="0.3">
      <c r="D341" s="1"/>
    </row>
    <row r="342" spans="4:4" x14ac:dyDescent="0.3">
      <c r="D342" s="1"/>
    </row>
    <row r="343" spans="4:4" x14ac:dyDescent="0.3">
      <c r="D343" s="1"/>
    </row>
    <row r="344" spans="4:4" x14ac:dyDescent="0.3">
      <c r="D344" s="1"/>
    </row>
    <row r="345" spans="4:4" x14ac:dyDescent="0.3">
      <c r="D345" s="1"/>
    </row>
    <row r="346" spans="4:4" x14ac:dyDescent="0.3">
      <c r="D346" s="1"/>
    </row>
    <row r="347" spans="4:4" x14ac:dyDescent="0.3">
      <c r="D347" s="1"/>
    </row>
    <row r="348" spans="4:4" x14ac:dyDescent="0.3">
      <c r="D348" s="1"/>
    </row>
    <row r="349" spans="4:4" x14ac:dyDescent="0.3">
      <c r="D349" s="1"/>
    </row>
    <row r="350" spans="4:4" x14ac:dyDescent="0.3">
      <c r="D350" s="1"/>
    </row>
    <row r="351" spans="4:4" x14ac:dyDescent="0.3">
      <c r="D351" s="1"/>
    </row>
    <row r="352" spans="4:4" x14ac:dyDescent="0.3">
      <c r="D352" s="1"/>
    </row>
    <row r="353" spans="4:4" x14ac:dyDescent="0.3">
      <c r="D353" s="1"/>
    </row>
    <row r="354" spans="4:4" x14ac:dyDescent="0.3">
      <c r="D354" s="1"/>
    </row>
    <row r="355" spans="4:4" x14ac:dyDescent="0.3">
      <c r="D355" s="1"/>
    </row>
    <row r="356" spans="4:4" x14ac:dyDescent="0.3">
      <c r="D356" s="1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D194-4FC1-4BC1-B1E2-1C1CBDA5691E}">
  <dimension ref="A1:D356"/>
  <sheetViews>
    <sheetView tabSelected="1" zoomScale="72" zoomScaleNormal="100" workbookViewId="0">
      <selection activeCell="F49" sqref="F49"/>
    </sheetView>
  </sheetViews>
  <sheetFormatPr defaultRowHeight="14.4" x14ac:dyDescent="0.3"/>
  <cols>
    <col min="2" max="2" width="16.88671875" bestFit="1" customWidth="1"/>
    <col min="4" max="4" width="24.88671875" bestFit="1" customWidth="1"/>
    <col min="6" max="6" width="9" customWidth="1"/>
  </cols>
  <sheetData>
    <row r="1" spans="1:4" x14ac:dyDescent="0.3">
      <c r="A1" t="s">
        <v>99</v>
      </c>
    </row>
    <row r="2" spans="1:4" x14ac:dyDescent="0.3">
      <c r="A2" t="s">
        <v>105</v>
      </c>
    </row>
    <row r="3" spans="1:4" x14ac:dyDescent="0.3">
      <c r="A3" t="s">
        <v>110</v>
      </c>
      <c r="B3" t="s">
        <v>102</v>
      </c>
      <c r="C3" t="s">
        <v>48</v>
      </c>
      <c r="D3" s="1" t="s">
        <v>108</v>
      </c>
    </row>
    <row r="4" spans="1:4" x14ac:dyDescent="0.3">
      <c r="A4" t="s">
        <v>14</v>
      </c>
      <c r="B4" t="s">
        <v>97</v>
      </c>
      <c r="C4">
        <v>1</v>
      </c>
      <c r="D4" s="1">
        <v>199999999999.98001</v>
      </c>
    </row>
    <row r="5" spans="1:4" x14ac:dyDescent="0.3">
      <c r="A5" t="s">
        <v>14</v>
      </c>
      <c r="B5" t="s">
        <v>97</v>
      </c>
      <c r="C5">
        <v>2</v>
      </c>
      <c r="D5" s="1">
        <v>437028.42857142864</v>
      </c>
    </row>
    <row r="6" spans="1:4" x14ac:dyDescent="0.3">
      <c r="A6" t="s">
        <v>14</v>
      </c>
      <c r="B6" t="s">
        <v>97</v>
      </c>
      <c r="C6">
        <v>3</v>
      </c>
      <c r="D6" s="1">
        <v>428765.52380952396</v>
      </c>
    </row>
    <row r="7" spans="1:4" x14ac:dyDescent="0.3">
      <c r="A7" t="s">
        <v>14</v>
      </c>
      <c r="B7" t="s">
        <v>97</v>
      </c>
      <c r="C7">
        <v>4</v>
      </c>
      <c r="D7" s="1">
        <v>420502.61904761929</v>
      </c>
    </row>
    <row r="8" spans="1:4" x14ac:dyDescent="0.3">
      <c r="A8" t="s">
        <v>14</v>
      </c>
      <c r="B8" t="s">
        <v>97</v>
      </c>
      <c r="C8">
        <v>5</v>
      </c>
      <c r="D8" s="1">
        <v>412239.71428571449</v>
      </c>
    </row>
    <row r="9" spans="1:4" x14ac:dyDescent="0.3">
      <c r="A9" t="s">
        <v>14</v>
      </c>
      <c r="B9" t="s">
        <v>97</v>
      </c>
      <c r="C9">
        <v>6</v>
      </c>
      <c r="D9" s="1">
        <v>403976.80952380976</v>
      </c>
    </row>
    <row r="10" spans="1:4" x14ac:dyDescent="0.3">
      <c r="A10" t="s">
        <v>14</v>
      </c>
      <c r="B10" t="s">
        <v>97</v>
      </c>
      <c r="C10">
        <v>7</v>
      </c>
      <c r="D10" s="1">
        <v>395713.90476190508</v>
      </c>
    </row>
    <row r="11" spans="1:4" x14ac:dyDescent="0.3">
      <c r="A11" t="s">
        <v>22</v>
      </c>
      <c r="B11" t="s">
        <v>97</v>
      </c>
      <c r="C11">
        <f>C4</f>
        <v>1</v>
      </c>
      <c r="D11" s="1">
        <v>199999999999.98001</v>
      </c>
    </row>
    <row r="12" spans="1:4" x14ac:dyDescent="0.3">
      <c r="A12" t="s">
        <v>22</v>
      </c>
      <c r="B12" t="s">
        <v>97</v>
      </c>
      <c r="C12">
        <f t="shared" ref="C12:C24" si="0">C5</f>
        <v>2</v>
      </c>
      <c r="D12" s="1">
        <v>681190.71428571444</v>
      </c>
    </row>
    <row r="13" spans="1:4" x14ac:dyDescent="0.3">
      <c r="A13" t="s">
        <v>22</v>
      </c>
      <c r="B13" t="s">
        <v>97</v>
      </c>
      <c r="C13">
        <f t="shared" si="0"/>
        <v>3</v>
      </c>
      <c r="D13" s="1">
        <v>668311.42857142887</v>
      </c>
    </row>
    <row r="14" spans="1:4" x14ac:dyDescent="0.3">
      <c r="A14" t="s">
        <v>22</v>
      </c>
      <c r="B14" t="s">
        <v>97</v>
      </c>
      <c r="C14">
        <f t="shared" si="0"/>
        <v>4</v>
      </c>
      <c r="D14" s="1">
        <v>655432.14285714319</v>
      </c>
    </row>
    <row r="15" spans="1:4" x14ac:dyDescent="0.3">
      <c r="A15" t="s">
        <v>22</v>
      </c>
      <c r="B15" t="s">
        <v>97</v>
      </c>
      <c r="C15">
        <f t="shared" si="0"/>
        <v>5</v>
      </c>
      <c r="D15" s="1">
        <v>642552.85714285751</v>
      </c>
    </row>
    <row r="16" spans="1:4" x14ac:dyDescent="0.3">
      <c r="A16" t="s">
        <v>22</v>
      </c>
      <c r="B16" t="s">
        <v>97</v>
      </c>
      <c r="C16">
        <f t="shared" si="0"/>
        <v>6</v>
      </c>
      <c r="D16" s="1">
        <v>629673.57142857183</v>
      </c>
    </row>
    <row r="17" spans="1:4" x14ac:dyDescent="0.3">
      <c r="A17" t="s">
        <v>22</v>
      </c>
      <c r="B17" t="s">
        <v>97</v>
      </c>
      <c r="C17">
        <f t="shared" si="0"/>
        <v>7</v>
      </c>
      <c r="D17" s="1">
        <v>616794.28571428626</v>
      </c>
    </row>
    <row r="18" spans="1:4" x14ac:dyDescent="0.3">
      <c r="A18" t="s">
        <v>18</v>
      </c>
      <c r="B18" t="s">
        <v>97</v>
      </c>
      <c r="C18">
        <f>C11</f>
        <v>1</v>
      </c>
      <c r="D18" s="1">
        <v>199999999999.98001</v>
      </c>
    </row>
    <row r="19" spans="1:4" x14ac:dyDescent="0.3">
      <c r="A19" t="s">
        <v>18</v>
      </c>
      <c r="B19" t="s">
        <v>97</v>
      </c>
      <c r="C19">
        <f t="shared" si="0"/>
        <v>2</v>
      </c>
      <c r="D19" s="1">
        <v>698657.14285714296</v>
      </c>
    </row>
    <row r="20" spans="1:4" x14ac:dyDescent="0.3">
      <c r="A20" t="s">
        <v>18</v>
      </c>
      <c r="B20" t="s">
        <v>97</v>
      </c>
      <c r="C20">
        <f t="shared" si="0"/>
        <v>3</v>
      </c>
      <c r="D20" s="1">
        <v>685447.61904761929</v>
      </c>
    </row>
    <row r="21" spans="1:4" x14ac:dyDescent="0.3">
      <c r="A21" t="s">
        <v>18</v>
      </c>
      <c r="B21" t="s">
        <v>97</v>
      </c>
      <c r="C21">
        <f t="shared" si="0"/>
        <v>4</v>
      </c>
      <c r="D21" s="1">
        <v>672238.0952380955</v>
      </c>
    </row>
    <row r="22" spans="1:4" x14ac:dyDescent="0.3">
      <c r="A22" t="s">
        <v>18</v>
      </c>
      <c r="B22" t="s">
        <v>97</v>
      </c>
      <c r="C22">
        <f t="shared" si="0"/>
        <v>5</v>
      </c>
      <c r="D22" s="1">
        <v>659028.57142857183</v>
      </c>
    </row>
    <row r="23" spans="1:4" x14ac:dyDescent="0.3">
      <c r="A23" t="s">
        <v>18</v>
      </c>
      <c r="B23" t="s">
        <v>97</v>
      </c>
      <c r="C23">
        <f t="shared" si="0"/>
        <v>6</v>
      </c>
      <c r="D23" s="1">
        <v>645819.04761904804</v>
      </c>
    </row>
    <row r="24" spans="1:4" x14ac:dyDescent="0.3">
      <c r="A24" t="s">
        <v>18</v>
      </c>
      <c r="B24" t="s">
        <v>97</v>
      </c>
      <c r="C24">
        <f t="shared" si="0"/>
        <v>7</v>
      </c>
      <c r="D24" s="1">
        <v>632609.52380952437</v>
      </c>
    </row>
    <row r="25" spans="1:4" x14ac:dyDescent="0.3">
      <c r="A25" t="s">
        <v>7</v>
      </c>
      <c r="B25" t="s">
        <v>101</v>
      </c>
      <c r="C25">
        <f t="shared" ref="C25:C31" si="1">C11</f>
        <v>1</v>
      </c>
      <c r="D25" s="1">
        <v>399999999999.96002</v>
      </c>
    </row>
    <row r="26" spans="1:4" x14ac:dyDescent="0.3">
      <c r="A26" t="s">
        <v>7</v>
      </c>
      <c r="B26" t="s">
        <v>101</v>
      </c>
      <c r="C26">
        <f t="shared" si="1"/>
        <v>2</v>
      </c>
      <c r="D26" s="1">
        <v>865244.47200000007</v>
      </c>
    </row>
    <row r="27" spans="1:4" x14ac:dyDescent="0.3">
      <c r="A27" t="s">
        <v>7</v>
      </c>
      <c r="B27" t="s">
        <v>101</v>
      </c>
      <c r="C27">
        <f t="shared" si="1"/>
        <v>3</v>
      </c>
      <c r="D27" s="1">
        <v>865244.47200000007</v>
      </c>
    </row>
    <row r="28" spans="1:4" x14ac:dyDescent="0.3">
      <c r="A28" t="s">
        <v>7</v>
      </c>
      <c r="B28" t="s">
        <v>101</v>
      </c>
      <c r="C28">
        <f t="shared" si="1"/>
        <v>4</v>
      </c>
      <c r="D28" s="1">
        <v>865244.47200000007</v>
      </c>
    </row>
    <row r="29" spans="1:4" x14ac:dyDescent="0.3">
      <c r="A29" t="s">
        <v>7</v>
      </c>
      <c r="B29" t="s">
        <v>101</v>
      </c>
      <c r="C29">
        <f t="shared" si="1"/>
        <v>5</v>
      </c>
      <c r="D29" s="1">
        <v>865244.47200000007</v>
      </c>
    </row>
    <row r="30" spans="1:4" x14ac:dyDescent="0.3">
      <c r="A30" t="s">
        <v>7</v>
      </c>
      <c r="B30" t="s">
        <v>101</v>
      </c>
      <c r="C30">
        <f t="shared" si="1"/>
        <v>6</v>
      </c>
      <c r="D30" s="1">
        <v>865244.47200000007</v>
      </c>
    </row>
    <row r="31" spans="1:4" x14ac:dyDescent="0.3">
      <c r="A31" t="s">
        <v>7</v>
      </c>
      <c r="B31" t="s">
        <v>101</v>
      </c>
      <c r="C31">
        <f t="shared" si="1"/>
        <v>7</v>
      </c>
      <c r="D31" s="1">
        <v>865244.47200000007</v>
      </c>
    </row>
    <row r="32" spans="1:4" x14ac:dyDescent="0.3">
      <c r="A32" t="s">
        <v>19</v>
      </c>
      <c r="B32" t="s">
        <v>101</v>
      </c>
      <c r="C32">
        <f t="shared" ref="C32:C63" si="2">C25</f>
        <v>1</v>
      </c>
      <c r="D32" s="1">
        <v>399999999999.96002</v>
      </c>
    </row>
    <row r="33" spans="1:4" x14ac:dyDescent="0.3">
      <c r="A33" t="s">
        <v>19</v>
      </c>
      <c r="B33" t="s">
        <v>101</v>
      </c>
      <c r="C33">
        <f t="shared" si="2"/>
        <v>2</v>
      </c>
      <c r="D33" s="1">
        <v>865244.47200000007</v>
      </c>
    </row>
    <row r="34" spans="1:4" x14ac:dyDescent="0.3">
      <c r="A34" t="s">
        <v>19</v>
      </c>
      <c r="B34" t="s">
        <v>101</v>
      </c>
      <c r="C34">
        <f t="shared" si="2"/>
        <v>3</v>
      </c>
      <c r="D34" s="1">
        <v>865244.47200000007</v>
      </c>
    </row>
    <row r="35" spans="1:4" x14ac:dyDescent="0.3">
      <c r="A35" t="s">
        <v>19</v>
      </c>
      <c r="B35" t="s">
        <v>101</v>
      </c>
      <c r="C35">
        <f t="shared" si="2"/>
        <v>4</v>
      </c>
      <c r="D35" s="1">
        <v>865244.47200000007</v>
      </c>
    </row>
    <row r="36" spans="1:4" x14ac:dyDescent="0.3">
      <c r="A36" t="s">
        <v>19</v>
      </c>
      <c r="B36" t="s">
        <v>101</v>
      </c>
      <c r="C36">
        <f t="shared" si="2"/>
        <v>5</v>
      </c>
      <c r="D36" s="1">
        <v>865244.47200000007</v>
      </c>
    </row>
    <row r="37" spans="1:4" x14ac:dyDescent="0.3">
      <c r="A37" t="s">
        <v>19</v>
      </c>
      <c r="B37" t="s">
        <v>101</v>
      </c>
      <c r="C37">
        <f t="shared" si="2"/>
        <v>6</v>
      </c>
      <c r="D37" s="1">
        <v>865244.47200000007</v>
      </c>
    </row>
    <row r="38" spans="1:4" x14ac:dyDescent="0.3">
      <c r="A38" t="s">
        <v>19</v>
      </c>
      <c r="B38" t="s">
        <v>101</v>
      </c>
      <c r="C38">
        <f t="shared" si="2"/>
        <v>7</v>
      </c>
      <c r="D38" s="1">
        <v>865244.47200000007</v>
      </c>
    </row>
    <row r="39" spans="1:4" x14ac:dyDescent="0.3">
      <c r="A39" t="s">
        <v>13</v>
      </c>
      <c r="B39" t="s">
        <v>101</v>
      </c>
      <c r="C39">
        <f t="shared" si="2"/>
        <v>1</v>
      </c>
      <c r="D39" s="1">
        <v>399999999999.96002</v>
      </c>
    </row>
    <row r="40" spans="1:4" x14ac:dyDescent="0.3">
      <c r="A40" t="s">
        <v>13</v>
      </c>
      <c r="B40" t="s">
        <v>101</v>
      </c>
      <c r="C40">
        <f t="shared" si="2"/>
        <v>2</v>
      </c>
      <c r="D40" s="1">
        <v>865244.47200000007</v>
      </c>
    </row>
    <row r="41" spans="1:4" x14ac:dyDescent="0.3">
      <c r="A41" t="s">
        <v>13</v>
      </c>
      <c r="B41" t="s">
        <v>101</v>
      </c>
      <c r="C41">
        <f t="shared" si="2"/>
        <v>3</v>
      </c>
      <c r="D41" s="1">
        <v>865244.47200000007</v>
      </c>
    </row>
    <row r="42" spans="1:4" x14ac:dyDescent="0.3">
      <c r="A42" t="s">
        <v>13</v>
      </c>
      <c r="B42" t="s">
        <v>101</v>
      </c>
      <c r="C42">
        <f t="shared" si="2"/>
        <v>4</v>
      </c>
      <c r="D42" s="1">
        <v>865244.47200000007</v>
      </c>
    </row>
    <row r="43" spans="1:4" x14ac:dyDescent="0.3">
      <c r="A43" t="s">
        <v>13</v>
      </c>
      <c r="B43" t="s">
        <v>101</v>
      </c>
      <c r="C43">
        <f t="shared" si="2"/>
        <v>5</v>
      </c>
      <c r="D43" s="1">
        <v>865244.47200000007</v>
      </c>
    </row>
    <row r="44" spans="1:4" x14ac:dyDescent="0.3">
      <c r="A44" t="s">
        <v>13</v>
      </c>
      <c r="B44" t="s">
        <v>101</v>
      </c>
      <c r="C44">
        <f t="shared" si="2"/>
        <v>6</v>
      </c>
      <c r="D44" s="1">
        <v>865244.47200000007</v>
      </c>
    </row>
    <row r="45" spans="1:4" x14ac:dyDescent="0.3">
      <c r="A45" t="s">
        <v>13</v>
      </c>
      <c r="B45" t="s">
        <v>101</v>
      </c>
      <c r="C45">
        <f t="shared" si="2"/>
        <v>7</v>
      </c>
      <c r="D45" s="1">
        <v>865244.47200000007</v>
      </c>
    </row>
    <row r="46" spans="1:4" x14ac:dyDescent="0.3">
      <c r="A46" t="s">
        <v>16</v>
      </c>
      <c r="B46" t="s">
        <v>101</v>
      </c>
      <c r="C46">
        <f t="shared" si="2"/>
        <v>1</v>
      </c>
      <c r="D46" s="1">
        <v>399999999999.96002</v>
      </c>
    </row>
    <row r="47" spans="1:4" x14ac:dyDescent="0.3">
      <c r="A47" t="s">
        <v>16</v>
      </c>
      <c r="B47" t="s">
        <v>101</v>
      </c>
      <c r="C47">
        <f t="shared" si="2"/>
        <v>2</v>
      </c>
      <c r="D47" s="1">
        <v>865244.47200000007</v>
      </c>
    </row>
    <row r="48" spans="1:4" x14ac:dyDescent="0.3">
      <c r="A48" t="s">
        <v>16</v>
      </c>
      <c r="B48" t="s">
        <v>101</v>
      </c>
      <c r="C48">
        <f t="shared" si="2"/>
        <v>3</v>
      </c>
      <c r="D48" s="1">
        <v>865244.47200000007</v>
      </c>
    </row>
    <row r="49" spans="1:4" x14ac:dyDescent="0.3">
      <c r="A49" t="s">
        <v>16</v>
      </c>
      <c r="B49" t="s">
        <v>101</v>
      </c>
      <c r="C49">
        <f t="shared" si="2"/>
        <v>4</v>
      </c>
      <c r="D49" s="1">
        <v>865244.47200000007</v>
      </c>
    </row>
    <row r="50" spans="1:4" x14ac:dyDescent="0.3">
      <c r="A50" t="s">
        <v>16</v>
      </c>
      <c r="B50" t="s">
        <v>101</v>
      </c>
      <c r="C50">
        <f t="shared" si="2"/>
        <v>5</v>
      </c>
      <c r="D50" s="1">
        <v>865244.47200000007</v>
      </c>
    </row>
    <row r="51" spans="1:4" x14ac:dyDescent="0.3">
      <c r="A51" t="s">
        <v>16</v>
      </c>
      <c r="B51" t="s">
        <v>101</v>
      </c>
      <c r="C51">
        <f t="shared" si="2"/>
        <v>6</v>
      </c>
      <c r="D51" s="1">
        <v>865244.47200000007</v>
      </c>
    </row>
    <row r="52" spans="1:4" x14ac:dyDescent="0.3">
      <c r="A52" t="s">
        <v>16</v>
      </c>
      <c r="B52" t="s">
        <v>101</v>
      </c>
      <c r="C52">
        <f t="shared" si="2"/>
        <v>7</v>
      </c>
      <c r="D52" s="1">
        <v>865244.47200000007</v>
      </c>
    </row>
    <row r="53" spans="1:4" x14ac:dyDescent="0.3">
      <c r="A53" t="s">
        <v>11</v>
      </c>
      <c r="B53" t="s">
        <v>101</v>
      </c>
      <c r="C53">
        <f t="shared" si="2"/>
        <v>1</v>
      </c>
      <c r="D53" s="1">
        <v>399999999999.96002</v>
      </c>
    </row>
    <row r="54" spans="1:4" x14ac:dyDescent="0.3">
      <c r="A54" t="s">
        <v>11</v>
      </c>
      <c r="B54" t="s">
        <v>101</v>
      </c>
      <c r="C54">
        <f t="shared" si="2"/>
        <v>2</v>
      </c>
      <c r="D54" s="1">
        <v>865244.47200000007</v>
      </c>
    </row>
    <row r="55" spans="1:4" x14ac:dyDescent="0.3">
      <c r="A55" t="s">
        <v>11</v>
      </c>
      <c r="B55" t="s">
        <v>101</v>
      </c>
      <c r="C55">
        <f t="shared" si="2"/>
        <v>3</v>
      </c>
      <c r="D55" s="1">
        <v>865244.47200000007</v>
      </c>
    </row>
    <row r="56" spans="1:4" x14ac:dyDescent="0.3">
      <c r="A56" t="s">
        <v>11</v>
      </c>
      <c r="B56" t="s">
        <v>101</v>
      </c>
      <c r="C56">
        <f t="shared" si="2"/>
        <v>4</v>
      </c>
      <c r="D56" s="1">
        <v>865244.47200000007</v>
      </c>
    </row>
    <row r="57" spans="1:4" x14ac:dyDescent="0.3">
      <c r="A57" t="s">
        <v>11</v>
      </c>
      <c r="B57" t="s">
        <v>101</v>
      </c>
      <c r="C57">
        <f t="shared" si="2"/>
        <v>5</v>
      </c>
      <c r="D57" s="1">
        <v>865244.47200000007</v>
      </c>
    </row>
    <row r="58" spans="1:4" x14ac:dyDescent="0.3">
      <c r="A58" t="s">
        <v>11</v>
      </c>
      <c r="B58" t="s">
        <v>101</v>
      </c>
      <c r="C58">
        <f t="shared" si="2"/>
        <v>6</v>
      </c>
      <c r="D58" s="1">
        <v>865244.47200000007</v>
      </c>
    </row>
    <row r="59" spans="1:4" x14ac:dyDescent="0.3">
      <c r="A59" t="s">
        <v>11</v>
      </c>
      <c r="B59" t="s">
        <v>101</v>
      </c>
      <c r="C59">
        <f t="shared" si="2"/>
        <v>7</v>
      </c>
      <c r="D59" s="1">
        <v>865244.47200000007</v>
      </c>
    </row>
    <row r="60" spans="1:4" x14ac:dyDescent="0.3">
      <c r="A60" t="s">
        <v>17</v>
      </c>
      <c r="B60" t="s">
        <v>101</v>
      </c>
      <c r="C60">
        <f t="shared" si="2"/>
        <v>1</v>
      </c>
      <c r="D60" s="1">
        <v>399999999999.96002</v>
      </c>
    </row>
    <row r="61" spans="1:4" x14ac:dyDescent="0.3">
      <c r="A61" t="s">
        <v>17</v>
      </c>
      <c r="B61" t="s">
        <v>101</v>
      </c>
      <c r="C61">
        <f t="shared" si="2"/>
        <v>2</v>
      </c>
      <c r="D61" s="1">
        <v>865244.47200000007</v>
      </c>
    </row>
    <row r="62" spans="1:4" x14ac:dyDescent="0.3">
      <c r="A62" t="s">
        <v>17</v>
      </c>
      <c r="B62" t="s">
        <v>101</v>
      </c>
      <c r="C62">
        <f t="shared" si="2"/>
        <v>3</v>
      </c>
      <c r="D62" s="1">
        <v>865244.47200000007</v>
      </c>
    </row>
    <row r="63" spans="1:4" x14ac:dyDescent="0.3">
      <c r="A63" t="s">
        <v>17</v>
      </c>
      <c r="B63" t="s">
        <v>101</v>
      </c>
      <c r="C63">
        <f t="shared" si="2"/>
        <v>4</v>
      </c>
      <c r="D63" s="1">
        <v>865244.47200000007</v>
      </c>
    </row>
    <row r="64" spans="1:4" x14ac:dyDescent="0.3">
      <c r="A64" t="s">
        <v>17</v>
      </c>
      <c r="B64" t="s">
        <v>101</v>
      </c>
      <c r="C64">
        <f t="shared" ref="C64:C82" si="3">C57</f>
        <v>5</v>
      </c>
      <c r="D64" s="1">
        <v>865244.47200000007</v>
      </c>
    </row>
    <row r="65" spans="1:4" x14ac:dyDescent="0.3">
      <c r="A65" t="s">
        <v>17</v>
      </c>
      <c r="B65" t="s">
        <v>101</v>
      </c>
      <c r="C65">
        <f t="shared" si="3"/>
        <v>6</v>
      </c>
      <c r="D65" s="1">
        <v>865244.47200000007</v>
      </c>
    </row>
    <row r="66" spans="1:4" x14ac:dyDescent="0.3">
      <c r="A66" t="s">
        <v>17</v>
      </c>
      <c r="B66" t="s">
        <v>101</v>
      </c>
      <c r="C66">
        <f t="shared" si="3"/>
        <v>7</v>
      </c>
      <c r="D66" s="1">
        <v>865244.47200000007</v>
      </c>
    </row>
    <row r="67" spans="1:4" x14ac:dyDescent="0.3">
      <c r="A67" t="s">
        <v>18</v>
      </c>
      <c r="B67" t="s">
        <v>101</v>
      </c>
      <c r="C67">
        <f t="shared" si="3"/>
        <v>1</v>
      </c>
      <c r="D67" s="1">
        <v>399999999999.96002</v>
      </c>
    </row>
    <row r="68" spans="1:4" x14ac:dyDescent="0.3">
      <c r="A68" t="s">
        <v>18</v>
      </c>
      <c r="B68" t="s">
        <v>101</v>
      </c>
      <c r="C68">
        <f t="shared" si="3"/>
        <v>2</v>
      </c>
      <c r="D68" s="1">
        <v>865244.47200000007</v>
      </c>
    </row>
    <row r="69" spans="1:4" x14ac:dyDescent="0.3">
      <c r="A69" t="s">
        <v>18</v>
      </c>
      <c r="B69" t="s">
        <v>101</v>
      </c>
      <c r="C69">
        <f t="shared" si="3"/>
        <v>3</v>
      </c>
      <c r="D69" s="1">
        <v>865244.47200000007</v>
      </c>
    </row>
    <row r="70" spans="1:4" x14ac:dyDescent="0.3">
      <c r="A70" t="s">
        <v>18</v>
      </c>
      <c r="B70" t="s">
        <v>101</v>
      </c>
      <c r="C70">
        <f t="shared" si="3"/>
        <v>4</v>
      </c>
      <c r="D70" s="1">
        <v>865244.47200000007</v>
      </c>
    </row>
    <row r="71" spans="1:4" x14ac:dyDescent="0.3">
      <c r="A71" t="s">
        <v>18</v>
      </c>
      <c r="B71" t="s">
        <v>101</v>
      </c>
      <c r="C71">
        <f t="shared" si="3"/>
        <v>5</v>
      </c>
      <c r="D71" s="1">
        <v>865244.47200000007</v>
      </c>
    </row>
    <row r="72" spans="1:4" x14ac:dyDescent="0.3">
      <c r="A72" t="s">
        <v>18</v>
      </c>
      <c r="B72" t="s">
        <v>101</v>
      </c>
      <c r="C72">
        <f t="shared" si="3"/>
        <v>6</v>
      </c>
      <c r="D72" s="1">
        <v>865244.47200000007</v>
      </c>
    </row>
    <row r="73" spans="1:4" x14ac:dyDescent="0.3">
      <c r="A73" t="s">
        <v>18</v>
      </c>
      <c r="B73" t="s">
        <v>101</v>
      </c>
      <c r="C73">
        <f t="shared" si="3"/>
        <v>7</v>
      </c>
      <c r="D73" s="1">
        <v>865244.47200000007</v>
      </c>
    </row>
    <row r="74" spans="1:4" x14ac:dyDescent="0.3">
      <c r="A74" t="s">
        <v>21</v>
      </c>
      <c r="B74" t="s">
        <v>101</v>
      </c>
      <c r="C74">
        <f t="shared" si="3"/>
        <v>1</v>
      </c>
      <c r="D74" s="1">
        <v>399999999999.96002</v>
      </c>
    </row>
    <row r="75" spans="1:4" x14ac:dyDescent="0.3">
      <c r="A75" t="s">
        <v>21</v>
      </c>
      <c r="B75" t="s">
        <v>101</v>
      </c>
      <c r="C75">
        <f t="shared" si="3"/>
        <v>2</v>
      </c>
      <c r="D75" s="1">
        <v>865244.47200000007</v>
      </c>
    </row>
    <row r="76" spans="1:4" x14ac:dyDescent="0.3">
      <c r="A76" t="s">
        <v>21</v>
      </c>
      <c r="B76" t="s">
        <v>101</v>
      </c>
      <c r="C76">
        <f t="shared" si="3"/>
        <v>3</v>
      </c>
      <c r="D76" s="1">
        <v>865244.47200000007</v>
      </c>
    </row>
    <row r="77" spans="1:4" x14ac:dyDescent="0.3">
      <c r="A77" t="s">
        <v>21</v>
      </c>
      <c r="B77" t="s">
        <v>101</v>
      </c>
      <c r="C77">
        <f t="shared" si="3"/>
        <v>4</v>
      </c>
      <c r="D77" s="1">
        <v>865244.47200000007</v>
      </c>
    </row>
    <row r="78" spans="1:4" x14ac:dyDescent="0.3">
      <c r="A78" t="s">
        <v>21</v>
      </c>
      <c r="B78" t="s">
        <v>101</v>
      </c>
      <c r="C78">
        <f t="shared" si="3"/>
        <v>5</v>
      </c>
      <c r="D78" s="1">
        <v>865244.47200000007</v>
      </c>
    </row>
    <row r="79" spans="1:4" x14ac:dyDescent="0.3">
      <c r="A79" t="s">
        <v>21</v>
      </c>
      <c r="B79" t="s">
        <v>101</v>
      </c>
      <c r="C79">
        <f t="shared" si="3"/>
        <v>6</v>
      </c>
      <c r="D79" s="1">
        <v>865244.47200000007</v>
      </c>
    </row>
    <row r="80" spans="1:4" x14ac:dyDescent="0.3">
      <c r="A80" t="s">
        <v>21</v>
      </c>
      <c r="B80" t="s">
        <v>101</v>
      </c>
      <c r="C80">
        <f t="shared" si="3"/>
        <v>7</v>
      </c>
      <c r="D80" s="1">
        <v>865244.47200000007</v>
      </c>
    </row>
    <row r="81" spans="1:4" x14ac:dyDescent="0.3">
      <c r="A81" t="s">
        <v>23</v>
      </c>
      <c r="B81" t="s">
        <v>101</v>
      </c>
      <c r="C81">
        <f t="shared" si="3"/>
        <v>1</v>
      </c>
      <c r="D81" s="1">
        <v>399999999999.96002</v>
      </c>
    </row>
    <row r="82" spans="1:4" x14ac:dyDescent="0.3">
      <c r="A82" t="s">
        <v>23</v>
      </c>
      <c r="B82" t="s">
        <v>101</v>
      </c>
      <c r="C82">
        <f t="shared" si="3"/>
        <v>2</v>
      </c>
      <c r="D82" s="1">
        <v>865244.47200000007</v>
      </c>
    </row>
    <row r="83" spans="1:4" x14ac:dyDescent="0.3">
      <c r="A83" t="s">
        <v>23</v>
      </c>
      <c r="B83" t="s">
        <v>101</v>
      </c>
      <c r="C83">
        <f t="shared" ref="C83:C129" si="4">C76</f>
        <v>3</v>
      </c>
      <c r="D83" s="1">
        <v>865244.47200000007</v>
      </c>
    </row>
    <row r="84" spans="1:4" x14ac:dyDescent="0.3">
      <c r="A84" t="s">
        <v>23</v>
      </c>
      <c r="B84" t="s">
        <v>101</v>
      </c>
      <c r="C84">
        <f t="shared" si="4"/>
        <v>4</v>
      </c>
      <c r="D84" s="1">
        <v>865244.47200000007</v>
      </c>
    </row>
    <row r="85" spans="1:4" x14ac:dyDescent="0.3">
      <c r="A85" t="s">
        <v>23</v>
      </c>
      <c r="B85" t="s">
        <v>101</v>
      </c>
      <c r="C85">
        <f t="shared" si="4"/>
        <v>5</v>
      </c>
      <c r="D85" s="1">
        <v>865244.47200000007</v>
      </c>
    </row>
    <row r="86" spans="1:4" x14ac:dyDescent="0.3">
      <c r="A86" t="s">
        <v>23</v>
      </c>
      <c r="B86" t="s">
        <v>101</v>
      </c>
      <c r="C86">
        <f t="shared" si="4"/>
        <v>6</v>
      </c>
      <c r="D86" s="1">
        <v>865244.47200000007</v>
      </c>
    </row>
    <row r="87" spans="1:4" x14ac:dyDescent="0.3">
      <c r="A87" t="s">
        <v>23</v>
      </c>
      <c r="B87" t="s">
        <v>101</v>
      </c>
      <c r="C87">
        <f t="shared" si="4"/>
        <v>7</v>
      </c>
      <c r="D87" s="1">
        <v>865244.47200000007</v>
      </c>
    </row>
    <row r="88" spans="1:4" x14ac:dyDescent="0.3">
      <c r="A88" t="s">
        <v>27</v>
      </c>
      <c r="B88" t="s">
        <v>101</v>
      </c>
      <c r="C88">
        <f t="shared" si="4"/>
        <v>1</v>
      </c>
      <c r="D88" s="1">
        <v>399999999999.96002</v>
      </c>
    </row>
    <row r="89" spans="1:4" x14ac:dyDescent="0.3">
      <c r="A89" t="s">
        <v>27</v>
      </c>
      <c r="B89" t="s">
        <v>101</v>
      </c>
      <c r="C89">
        <f t="shared" si="4"/>
        <v>2</v>
      </c>
      <c r="D89" s="1">
        <v>865244.47200000007</v>
      </c>
    </row>
    <row r="90" spans="1:4" x14ac:dyDescent="0.3">
      <c r="A90" t="s">
        <v>27</v>
      </c>
      <c r="B90" t="s">
        <v>101</v>
      </c>
      <c r="C90">
        <f t="shared" si="4"/>
        <v>3</v>
      </c>
      <c r="D90" s="1">
        <v>865244.47200000007</v>
      </c>
    </row>
    <row r="91" spans="1:4" x14ac:dyDescent="0.3">
      <c r="A91" t="s">
        <v>27</v>
      </c>
      <c r="B91" t="s">
        <v>101</v>
      </c>
      <c r="C91">
        <f t="shared" si="4"/>
        <v>4</v>
      </c>
      <c r="D91" s="1">
        <v>865244.47200000007</v>
      </c>
    </row>
    <row r="92" spans="1:4" x14ac:dyDescent="0.3">
      <c r="A92" t="s">
        <v>27</v>
      </c>
      <c r="B92" t="s">
        <v>101</v>
      </c>
      <c r="C92">
        <f t="shared" si="4"/>
        <v>5</v>
      </c>
      <c r="D92" s="1">
        <v>865244.47200000007</v>
      </c>
    </row>
    <row r="93" spans="1:4" x14ac:dyDescent="0.3">
      <c r="A93" t="s">
        <v>27</v>
      </c>
      <c r="B93" t="s">
        <v>101</v>
      </c>
      <c r="C93">
        <f t="shared" si="4"/>
        <v>6</v>
      </c>
      <c r="D93" s="1">
        <v>865244.47200000007</v>
      </c>
    </row>
    <row r="94" spans="1:4" x14ac:dyDescent="0.3">
      <c r="A94" t="s">
        <v>27</v>
      </c>
      <c r="B94" t="s">
        <v>101</v>
      </c>
      <c r="C94">
        <f t="shared" si="4"/>
        <v>7</v>
      </c>
      <c r="D94" s="1">
        <v>865244.47200000007</v>
      </c>
    </row>
    <row r="95" spans="1:4" x14ac:dyDescent="0.3">
      <c r="A95" t="s">
        <v>33</v>
      </c>
      <c r="B95" t="s">
        <v>101</v>
      </c>
      <c r="C95">
        <f t="shared" si="4"/>
        <v>1</v>
      </c>
      <c r="D95" s="1">
        <v>399999999999.96002</v>
      </c>
    </row>
    <row r="96" spans="1:4" x14ac:dyDescent="0.3">
      <c r="A96" t="s">
        <v>33</v>
      </c>
      <c r="B96" t="s">
        <v>101</v>
      </c>
      <c r="C96">
        <f t="shared" si="4"/>
        <v>2</v>
      </c>
      <c r="D96" s="1">
        <v>865244.47200000007</v>
      </c>
    </row>
    <row r="97" spans="1:4" x14ac:dyDescent="0.3">
      <c r="A97" t="s">
        <v>33</v>
      </c>
      <c r="B97" t="s">
        <v>101</v>
      </c>
      <c r="C97">
        <f t="shared" si="4"/>
        <v>3</v>
      </c>
      <c r="D97" s="1">
        <v>865244.47200000007</v>
      </c>
    </row>
    <row r="98" spans="1:4" x14ac:dyDescent="0.3">
      <c r="A98" t="s">
        <v>33</v>
      </c>
      <c r="B98" t="s">
        <v>101</v>
      </c>
      <c r="C98">
        <f t="shared" si="4"/>
        <v>4</v>
      </c>
      <c r="D98" s="1">
        <v>865244.47200000007</v>
      </c>
    </row>
    <row r="99" spans="1:4" x14ac:dyDescent="0.3">
      <c r="A99" t="s">
        <v>33</v>
      </c>
      <c r="B99" t="s">
        <v>101</v>
      </c>
      <c r="C99">
        <f t="shared" si="4"/>
        <v>5</v>
      </c>
      <c r="D99" s="1">
        <v>865244.47200000007</v>
      </c>
    </row>
    <row r="100" spans="1:4" x14ac:dyDescent="0.3">
      <c r="A100" t="s">
        <v>33</v>
      </c>
      <c r="B100" t="s">
        <v>101</v>
      </c>
      <c r="C100">
        <f t="shared" si="4"/>
        <v>6</v>
      </c>
      <c r="D100" s="1">
        <v>865244.47200000007</v>
      </c>
    </row>
    <row r="101" spans="1:4" x14ac:dyDescent="0.3">
      <c r="A101" t="s">
        <v>33</v>
      </c>
      <c r="B101" t="s">
        <v>101</v>
      </c>
      <c r="C101">
        <f t="shared" si="4"/>
        <v>7</v>
      </c>
      <c r="D101" s="1">
        <v>865244.47200000007</v>
      </c>
    </row>
    <row r="102" spans="1:4" x14ac:dyDescent="0.3">
      <c r="A102" t="s">
        <v>34</v>
      </c>
      <c r="B102" t="s">
        <v>101</v>
      </c>
      <c r="C102">
        <f t="shared" si="4"/>
        <v>1</v>
      </c>
      <c r="D102" s="1">
        <v>399999999999.96002</v>
      </c>
    </row>
    <row r="103" spans="1:4" x14ac:dyDescent="0.3">
      <c r="A103" t="s">
        <v>34</v>
      </c>
      <c r="B103" t="s">
        <v>101</v>
      </c>
      <c r="C103">
        <f t="shared" si="4"/>
        <v>2</v>
      </c>
      <c r="D103" s="1">
        <v>865244.47200000007</v>
      </c>
    </row>
    <row r="104" spans="1:4" x14ac:dyDescent="0.3">
      <c r="A104" t="s">
        <v>34</v>
      </c>
      <c r="B104" t="s">
        <v>101</v>
      </c>
      <c r="C104">
        <f t="shared" si="4"/>
        <v>3</v>
      </c>
      <c r="D104" s="1">
        <v>865244.47200000007</v>
      </c>
    </row>
    <row r="105" spans="1:4" x14ac:dyDescent="0.3">
      <c r="A105" t="s">
        <v>34</v>
      </c>
      <c r="B105" t="s">
        <v>101</v>
      </c>
      <c r="C105">
        <f t="shared" si="4"/>
        <v>4</v>
      </c>
      <c r="D105" s="1">
        <v>865244.47200000007</v>
      </c>
    </row>
    <row r="106" spans="1:4" x14ac:dyDescent="0.3">
      <c r="A106" t="s">
        <v>34</v>
      </c>
      <c r="B106" t="s">
        <v>101</v>
      </c>
      <c r="C106">
        <f t="shared" si="4"/>
        <v>5</v>
      </c>
      <c r="D106" s="1">
        <v>865244.47200000007</v>
      </c>
    </row>
    <row r="107" spans="1:4" x14ac:dyDescent="0.3">
      <c r="A107" t="s">
        <v>34</v>
      </c>
      <c r="B107" t="s">
        <v>101</v>
      </c>
      <c r="C107">
        <f t="shared" si="4"/>
        <v>6</v>
      </c>
      <c r="D107" s="1">
        <v>865244.47200000007</v>
      </c>
    </row>
    <row r="108" spans="1:4" x14ac:dyDescent="0.3">
      <c r="A108" t="s">
        <v>34</v>
      </c>
      <c r="B108" t="s">
        <v>101</v>
      </c>
      <c r="C108">
        <f t="shared" si="4"/>
        <v>7</v>
      </c>
      <c r="D108" s="1">
        <v>865244.47200000007</v>
      </c>
    </row>
    <row r="109" spans="1:4" x14ac:dyDescent="0.3">
      <c r="A109" t="s">
        <v>35</v>
      </c>
      <c r="B109" t="s">
        <v>101</v>
      </c>
      <c r="C109">
        <f t="shared" si="4"/>
        <v>1</v>
      </c>
      <c r="D109" s="1">
        <v>399999999999.96002</v>
      </c>
    </row>
    <row r="110" spans="1:4" x14ac:dyDescent="0.3">
      <c r="A110" t="s">
        <v>35</v>
      </c>
      <c r="B110" t="s">
        <v>101</v>
      </c>
      <c r="C110">
        <f t="shared" si="4"/>
        <v>2</v>
      </c>
      <c r="D110" s="1">
        <v>865244.47200000007</v>
      </c>
    </row>
    <row r="111" spans="1:4" x14ac:dyDescent="0.3">
      <c r="A111" t="s">
        <v>35</v>
      </c>
      <c r="B111" t="s">
        <v>101</v>
      </c>
      <c r="C111">
        <f t="shared" si="4"/>
        <v>3</v>
      </c>
      <c r="D111" s="1">
        <v>865244.47200000007</v>
      </c>
    </row>
    <row r="112" spans="1:4" x14ac:dyDescent="0.3">
      <c r="A112" t="s">
        <v>35</v>
      </c>
      <c r="B112" t="s">
        <v>101</v>
      </c>
      <c r="C112">
        <f t="shared" si="4"/>
        <v>4</v>
      </c>
      <c r="D112" s="1">
        <v>865244.47200000007</v>
      </c>
    </row>
    <row r="113" spans="1:4" x14ac:dyDescent="0.3">
      <c r="A113" t="s">
        <v>35</v>
      </c>
      <c r="B113" t="s">
        <v>101</v>
      </c>
      <c r="C113">
        <f t="shared" si="4"/>
        <v>5</v>
      </c>
      <c r="D113" s="1">
        <v>865244.47200000007</v>
      </c>
    </row>
    <row r="114" spans="1:4" x14ac:dyDescent="0.3">
      <c r="A114" t="s">
        <v>35</v>
      </c>
      <c r="B114" t="s">
        <v>101</v>
      </c>
      <c r="C114">
        <f t="shared" si="4"/>
        <v>6</v>
      </c>
      <c r="D114" s="1">
        <v>865244.47200000007</v>
      </c>
    </row>
    <row r="115" spans="1:4" x14ac:dyDescent="0.3">
      <c r="A115" t="s">
        <v>35</v>
      </c>
      <c r="B115" t="s">
        <v>101</v>
      </c>
      <c r="C115">
        <f t="shared" si="4"/>
        <v>7</v>
      </c>
      <c r="D115" s="1">
        <v>865244.47200000007</v>
      </c>
    </row>
    <row r="116" spans="1:4" x14ac:dyDescent="0.3">
      <c r="A116" t="s">
        <v>22</v>
      </c>
      <c r="B116" t="s">
        <v>101</v>
      </c>
      <c r="C116">
        <f t="shared" si="4"/>
        <v>1</v>
      </c>
      <c r="D116" s="1">
        <v>399999999999.96002</v>
      </c>
    </row>
    <row r="117" spans="1:4" x14ac:dyDescent="0.3">
      <c r="A117" t="s">
        <v>22</v>
      </c>
      <c r="B117" t="s">
        <v>101</v>
      </c>
      <c r="C117">
        <f t="shared" si="4"/>
        <v>2</v>
      </c>
      <c r="D117" s="1">
        <v>865244.47200000007</v>
      </c>
    </row>
    <row r="118" spans="1:4" x14ac:dyDescent="0.3">
      <c r="A118" t="s">
        <v>22</v>
      </c>
      <c r="B118" t="s">
        <v>101</v>
      </c>
      <c r="C118">
        <f t="shared" si="4"/>
        <v>3</v>
      </c>
      <c r="D118" s="1">
        <v>865244.47200000007</v>
      </c>
    </row>
    <row r="119" spans="1:4" x14ac:dyDescent="0.3">
      <c r="A119" t="s">
        <v>22</v>
      </c>
      <c r="B119" t="s">
        <v>101</v>
      </c>
      <c r="C119">
        <f t="shared" si="4"/>
        <v>4</v>
      </c>
      <c r="D119" s="1">
        <v>865244.47200000007</v>
      </c>
    </row>
    <row r="120" spans="1:4" x14ac:dyDescent="0.3">
      <c r="A120" t="s">
        <v>22</v>
      </c>
      <c r="B120" t="s">
        <v>101</v>
      </c>
      <c r="C120">
        <f t="shared" si="4"/>
        <v>5</v>
      </c>
      <c r="D120" s="1">
        <v>865244.47200000007</v>
      </c>
    </row>
    <row r="121" spans="1:4" x14ac:dyDescent="0.3">
      <c r="A121" t="s">
        <v>22</v>
      </c>
      <c r="B121" t="s">
        <v>101</v>
      </c>
      <c r="C121">
        <f t="shared" si="4"/>
        <v>6</v>
      </c>
      <c r="D121" s="1">
        <v>865244.47200000007</v>
      </c>
    </row>
    <row r="122" spans="1:4" x14ac:dyDescent="0.3">
      <c r="A122" t="s">
        <v>22</v>
      </c>
      <c r="B122" t="s">
        <v>101</v>
      </c>
      <c r="C122">
        <f t="shared" si="4"/>
        <v>7</v>
      </c>
      <c r="D122" s="1">
        <v>865244.47200000007</v>
      </c>
    </row>
    <row r="123" spans="1:4" x14ac:dyDescent="0.3">
      <c r="A123" t="s">
        <v>14</v>
      </c>
      <c r="B123" t="s">
        <v>101</v>
      </c>
      <c r="C123">
        <f t="shared" si="4"/>
        <v>1</v>
      </c>
      <c r="D123" s="1">
        <v>399999999999.96002</v>
      </c>
    </row>
    <row r="124" spans="1:4" x14ac:dyDescent="0.3">
      <c r="A124" t="s">
        <v>14</v>
      </c>
      <c r="B124" t="s">
        <v>101</v>
      </c>
      <c r="C124">
        <f t="shared" si="4"/>
        <v>2</v>
      </c>
      <c r="D124" s="1">
        <v>865244.47200000007</v>
      </c>
    </row>
    <row r="125" spans="1:4" x14ac:dyDescent="0.3">
      <c r="A125" t="s">
        <v>14</v>
      </c>
      <c r="B125" t="s">
        <v>101</v>
      </c>
      <c r="C125">
        <f t="shared" si="4"/>
        <v>3</v>
      </c>
      <c r="D125" s="1">
        <v>865244.47200000007</v>
      </c>
    </row>
    <row r="126" spans="1:4" x14ac:dyDescent="0.3">
      <c r="A126" t="s">
        <v>14</v>
      </c>
      <c r="B126" t="s">
        <v>101</v>
      </c>
      <c r="C126">
        <f t="shared" si="4"/>
        <v>4</v>
      </c>
      <c r="D126" s="1">
        <v>865244.47200000007</v>
      </c>
    </row>
    <row r="127" spans="1:4" x14ac:dyDescent="0.3">
      <c r="A127" t="s">
        <v>14</v>
      </c>
      <c r="B127" t="s">
        <v>101</v>
      </c>
      <c r="C127">
        <f t="shared" si="4"/>
        <v>5</v>
      </c>
      <c r="D127" s="1">
        <v>865244.47200000007</v>
      </c>
    </row>
    <row r="128" spans="1:4" x14ac:dyDescent="0.3">
      <c r="A128" t="s">
        <v>14</v>
      </c>
      <c r="B128" t="s">
        <v>101</v>
      </c>
      <c r="C128">
        <f t="shared" si="4"/>
        <v>6</v>
      </c>
      <c r="D128" s="1">
        <v>865244.47200000007</v>
      </c>
    </row>
    <row r="129" spans="1:4" x14ac:dyDescent="0.3">
      <c r="A129" t="s">
        <v>14</v>
      </c>
      <c r="B129" t="s">
        <v>101</v>
      </c>
      <c r="C129">
        <f t="shared" si="4"/>
        <v>7</v>
      </c>
      <c r="D129" s="1">
        <v>865244.47200000007</v>
      </c>
    </row>
    <row r="130" spans="1:4" x14ac:dyDescent="0.3">
      <c r="D130" s="2"/>
    </row>
    <row r="131" spans="1:4" x14ac:dyDescent="0.3">
      <c r="D131" s="2"/>
    </row>
    <row r="132" spans="1:4" x14ac:dyDescent="0.3">
      <c r="D132" s="2"/>
    </row>
    <row r="133" spans="1:4" x14ac:dyDescent="0.3">
      <c r="D133" s="2"/>
    </row>
    <row r="134" spans="1:4" x14ac:dyDescent="0.3">
      <c r="D134" s="2"/>
    </row>
    <row r="135" spans="1:4" x14ac:dyDescent="0.3">
      <c r="D135" s="2"/>
    </row>
    <row r="136" spans="1:4" x14ac:dyDescent="0.3">
      <c r="D136" s="2"/>
    </row>
    <row r="137" spans="1:4" x14ac:dyDescent="0.3">
      <c r="D137" s="2"/>
    </row>
    <row r="138" spans="1:4" x14ac:dyDescent="0.3">
      <c r="D138" s="2"/>
    </row>
    <row r="139" spans="1:4" x14ac:dyDescent="0.3">
      <c r="D139" s="2"/>
    </row>
    <row r="140" spans="1:4" x14ac:dyDescent="0.3">
      <c r="D140" s="2"/>
    </row>
    <row r="141" spans="1:4" x14ac:dyDescent="0.3">
      <c r="D141" s="2"/>
    </row>
    <row r="142" spans="1:4" x14ac:dyDescent="0.3">
      <c r="D142" s="2"/>
    </row>
    <row r="143" spans="1:4" x14ac:dyDescent="0.3">
      <c r="D143" s="2"/>
    </row>
    <row r="144" spans="1:4" x14ac:dyDescent="0.3">
      <c r="D144" s="2"/>
    </row>
    <row r="145" spans="4:4" x14ac:dyDescent="0.3">
      <c r="D145" s="2"/>
    </row>
    <row r="146" spans="4:4" x14ac:dyDescent="0.3">
      <c r="D146" s="2"/>
    </row>
    <row r="147" spans="4:4" x14ac:dyDescent="0.3">
      <c r="D147" s="2"/>
    </row>
    <row r="148" spans="4:4" x14ac:dyDescent="0.3">
      <c r="D148" s="2"/>
    </row>
    <row r="149" spans="4:4" x14ac:dyDescent="0.3">
      <c r="D149" s="2"/>
    </row>
    <row r="150" spans="4:4" x14ac:dyDescent="0.3">
      <c r="D150" s="2"/>
    </row>
    <row r="151" spans="4:4" x14ac:dyDescent="0.3">
      <c r="D151" s="2"/>
    </row>
    <row r="152" spans="4:4" x14ac:dyDescent="0.3">
      <c r="D152" s="2"/>
    </row>
    <row r="153" spans="4:4" x14ac:dyDescent="0.3">
      <c r="D153" s="2"/>
    </row>
    <row r="154" spans="4:4" x14ac:dyDescent="0.3">
      <c r="D154" s="2"/>
    </row>
    <row r="155" spans="4:4" x14ac:dyDescent="0.3">
      <c r="D155" s="2"/>
    </row>
    <row r="156" spans="4:4" x14ac:dyDescent="0.3">
      <c r="D156" s="2"/>
    </row>
    <row r="157" spans="4:4" x14ac:dyDescent="0.3">
      <c r="D157" s="2"/>
    </row>
    <row r="158" spans="4:4" x14ac:dyDescent="0.3">
      <c r="D158" s="2"/>
    </row>
    <row r="159" spans="4:4" x14ac:dyDescent="0.3">
      <c r="D159" s="2"/>
    </row>
    <row r="160" spans="4:4" x14ac:dyDescent="0.3">
      <c r="D160" s="2"/>
    </row>
    <row r="161" spans="4:4" x14ac:dyDescent="0.3">
      <c r="D161" s="2"/>
    </row>
    <row r="162" spans="4:4" x14ac:dyDescent="0.3">
      <c r="D162" s="2"/>
    </row>
    <row r="163" spans="4:4" x14ac:dyDescent="0.3">
      <c r="D163" s="2"/>
    </row>
    <row r="164" spans="4:4" x14ac:dyDescent="0.3">
      <c r="D164" s="2"/>
    </row>
    <row r="165" spans="4:4" x14ac:dyDescent="0.3">
      <c r="D165" s="2"/>
    </row>
    <row r="166" spans="4:4" x14ac:dyDescent="0.3">
      <c r="D166" s="2"/>
    </row>
    <row r="167" spans="4:4" x14ac:dyDescent="0.3">
      <c r="D167" s="2"/>
    </row>
    <row r="168" spans="4:4" x14ac:dyDescent="0.3">
      <c r="D168" s="2"/>
    </row>
    <row r="169" spans="4:4" x14ac:dyDescent="0.3">
      <c r="D169" s="2"/>
    </row>
    <row r="170" spans="4:4" x14ac:dyDescent="0.3">
      <c r="D170" s="2"/>
    </row>
    <row r="171" spans="4:4" x14ac:dyDescent="0.3">
      <c r="D171" s="2"/>
    </row>
    <row r="172" spans="4:4" x14ac:dyDescent="0.3">
      <c r="D172" s="2"/>
    </row>
    <row r="173" spans="4:4" x14ac:dyDescent="0.3">
      <c r="D173" s="2"/>
    </row>
    <row r="174" spans="4:4" x14ac:dyDescent="0.3">
      <c r="D174" s="2"/>
    </row>
    <row r="175" spans="4:4" x14ac:dyDescent="0.3">
      <c r="D175" s="2"/>
    </row>
    <row r="176" spans="4:4" x14ac:dyDescent="0.3">
      <c r="D176" s="2"/>
    </row>
    <row r="177" spans="4:4" x14ac:dyDescent="0.3">
      <c r="D177" s="2"/>
    </row>
    <row r="178" spans="4:4" x14ac:dyDescent="0.3">
      <c r="D178" s="2"/>
    </row>
    <row r="179" spans="4:4" x14ac:dyDescent="0.3">
      <c r="D179" s="2"/>
    </row>
    <row r="180" spans="4:4" x14ac:dyDescent="0.3">
      <c r="D180" s="2"/>
    </row>
    <row r="181" spans="4:4" x14ac:dyDescent="0.3">
      <c r="D181" s="2"/>
    </row>
    <row r="182" spans="4:4" x14ac:dyDescent="0.3">
      <c r="D182" s="2"/>
    </row>
    <row r="183" spans="4:4" x14ac:dyDescent="0.3">
      <c r="D183" s="2"/>
    </row>
    <row r="184" spans="4:4" x14ac:dyDescent="0.3">
      <c r="D184" s="2"/>
    </row>
    <row r="185" spans="4:4" x14ac:dyDescent="0.3">
      <c r="D185" s="2"/>
    </row>
    <row r="186" spans="4:4" x14ac:dyDescent="0.3">
      <c r="D186" s="2"/>
    </row>
    <row r="187" spans="4:4" x14ac:dyDescent="0.3">
      <c r="D187" s="2"/>
    </row>
    <row r="188" spans="4:4" x14ac:dyDescent="0.3">
      <c r="D188" s="2"/>
    </row>
    <row r="189" spans="4:4" x14ac:dyDescent="0.3">
      <c r="D189" s="2"/>
    </row>
    <row r="190" spans="4:4" x14ac:dyDescent="0.3">
      <c r="D190" s="2"/>
    </row>
    <row r="191" spans="4:4" x14ac:dyDescent="0.3">
      <c r="D191" s="2"/>
    </row>
    <row r="192" spans="4:4" x14ac:dyDescent="0.3">
      <c r="D192" s="2"/>
    </row>
    <row r="193" spans="4:4" x14ac:dyDescent="0.3">
      <c r="D193" s="2"/>
    </row>
    <row r="194" spans="4:4" x14ac:dyDescent="0.3">
      <c r="D194" s="2"/>
    </row>
    <row r="195" spans="4:4" x14ac:dyDescent="0.3">
      <c r="D195" s="2"/>
    </row>
    <row r="196" spans="4:4" x14ac:dyDescent="0.3">
      <c r="D196" s="2"/>
    </row>
    <row r="197" spans="4:4" x14ac:dyDescent="0.3">
      <c r="D197" s="2"/>
    </row>
    <row r="198" spans="4:4" x14ac:dyDescent="0.3">
      <c r="D198" s="2"/>
    </row>
    <row r="199" spans="4:4" x14ac:dyDescent="0.3">
      <c r="D199" s="2"/>
    </row>
    <row r="200" spans="4:4" x14ac:dyDescent="0.3">
      <c r="D200" s="2"/>
    </row>
    <row r="201" spans="4:4" x14ac:dyDescent="0.3">
      <c r="D201" s="2"/>
    </row>
    <row r="202" spans="4:4" x14ac:dyDescent="0.3">
      <c r="D202" s="2"/>
    </row>
    <row r="203" spans="4:4" x14ac:dyDescent="0.3">
      <c r="D203" s="2"/>
    </row>
    <row r="204" spans="4:4" x14ac:dyDescent="0.3">
      <c r="D204" s="2"/>
    </row>
    <row r="205" spans="4:4" x14ac:dyDescent="0.3">
      <c r="D205" s="2"/>
    </row>
    <row r="206" spans="4:4" x14ac:dyDescent="0.3">
      <c r="D206" s="2"/>
    </row>
    <row r="207" spans="4:4" x14ac:dyDescent="0.3">
      <c r="D207" s="2"/>
    </row>
    <row r="208" spans="4:4" x14ac:dyDescent="0.3">
      <c r="D208" s="2"/>
    </row>
    <row r="209" spans="4:4" x14ac:dyDescent="0.3">
      <c r="D209" s="2"/>
    </row>
    <row r="210" spans="4:4" x14ac:dyDescent="0.3">
      <c r="D210" s="2"/>
    </row>
    <row r="211" spans="4:4" x14ac:dyDescent="0.3">
      <c r="D211" s="2"/>
    </row>
    <row r="212" spans="4:4" x14ac:dyDescent="0.3">
      <c r="D212" s="2"/>
    </row>
    <row r="213" spans="4:4" x14ac:dyDescent="0.3">
      <c r="D213" s="2"/>
    </row>
    <row r="214" spans="4:4" x14ac:dyDescent="0.3">
      <c r="D214" s="2"/>
    </row>
    <row r="215" spans="4:4" x14ac:dyDescent="0.3">
      <c r="D215" s="2"/>
    </row>
    <row r="216" spans="4:4" x14ac:dyDescent="0.3">
      <c r="D216" s="2"/>
    </row>
    <row r="217" spans="4:4" x14ac:dyDescent="0.3">
      <c r="D217" s="2"/>
    </row>
    <row r="218" spans="4:4" x14ac:dyDescent="0.3">
      <c r="D218" s="2"/>
    </row>
    <row r="219" spans="4:4" x14ac:dyDescent="0.3">
      <c r="D219" s="2"/>
    </row>
    <row r="220" spans="4:4" x14ac:dyDescent="0.3">
      <c r="D220" s="2"/>
    </row>
    <row r="221" spans="4:4" x14ac:dyDescent="0.3">
      <c r="D221" s="2"/>
    </row>
    <row r="222" spans="4:4" x14ac:dyDescent="0.3">
      <c r="D222" s="2"/>
    </row>
    <row r="223" spans="4:4" x14ac:dyDescent="0.3">
      <c r="D223" s="2"/>
    </row>
    <row r="224" spans="4:4" x14ac:dyDescent="0.3">
      <c r="D224" s="2"/>
    </row>
    <row r="225" spans="4:4" x14ac:dyDescent="0.3">
      <c r="D225" s="2"/>
    </row>
    <row r="226" spans="4:4" x14ac:dyDescent="0.3">
      <c r="D226" s="2"/>
    </row>
    <row r="227" spans="4:4" x14ac:dyDescent="0.3">
      <c r="D227" s="2"/>
    </row>
    <row r="228" spans="4:4" x14ac:dyDescent="0.3">
      <c r="D228" s="2"/>
    </row>
    <row r="229" spans="4:4" x14ac:dyDescent="0.3">
      <c r="D229" s="2"/>
    </row>
    <row r="230" spans="4:4" x14ac:dyDescent="0.3">
      <c r="D230" s="2"/>
    </row>
    <row r="231" spans="4:4" x14ac:dyDescent="0.3">
      <c r="D231" s="2"/>
    </row>
    <row r="232" spans="4:4" x14ac:dyDescent="0.3">
      <c r="D232" s="2"/>
    </row>
    <row r="233" spans="4:4" x14ac:dyDescent="0.3">
      <c r="D233" s="2"/>
    </row>
    <row r="234" spans="4:4" x14ac:dyDescent="0.3">
      <c r="D234" s="2"/>
    </row>
    <row r="235" spans="4:4" x14ac:dyDescent="0.3">
      <c r="D235" s="2"/>
    </row>
    <row r="236" spans="4:4" x14ac:dyDescent="0.3">
      <c r="D236" s="2"/>
    </row>
    <row r="237" spans="4:4" x14ac:dyDescent="0.3">
      <c r="D237" s="2"/>
    </row>
    <row r="238" spans="4:4" x14ac:dyDescent="0.3">
      <c r="D238" s="2"/>
    </row>
    <row r="239" spans="4:4" x14ac:dyDescent="0.3">
      <c r="D239" s="2"/>
    </row>
    <row r="240" spans="4:4" x14ac:dyDescent="0.3">
      <c r="D240" s="2"/>
    </row>
    <row r="241" spans="4:4" x14ac:dyDescent="0.3">
      <c r="D241" s="2"/>
    </row>
    <row r="242" spans="4:4" x14ac:dyDescent="0.3">
      <c r="D242" s="2"/>
    </row>
    <row r="243" spans="4:4" x14ac:dyDescent="0.3">
      <c r="D243" s="2"/>
    </row>
    <row r="244" spans="4:4" x14ac:dyDescent="0.3">
      <c r="D244" s="2"/>
    </row>
    <row r="245" spans="4:4" x14ac:dyDescent="0.3">
      <c r="D245" s="2"/>
    </row>
    <row r="246" spans="4:4" x14ac:dyDescent="0.3">
      <c r="D246" s="2"/>
    </row>
    <row r="247" spans="4:4" x14ac:dyDescent="0.3">
      <c r="D247" s="2"/>
    </row>
    <row r="248" spans="4:4" x14ac:dyDescent="0.3">
      <c r="D248" s="2"/>
    </row>
    <row r="249" spans="4:4" x14ac:dyDescent="0.3">
      <c r="D249" s="2"/>
    </row>
    <row r="250" spans="4:4" x14ac:dyDescent="0.3">
      <c r="D250" s="2"/>
    </row>
    <row r="251" spans="4:4" x14ac:dyDescent="0.3">
      <c r="D251" s="2"/>
    </row>
    <row r="252" spans="4:4" x14ac:dyDescent="0.3">
      <c r="D252" s="2"/>
    </row>
    <row r="253" spans="4:4" x14ac:dyDescent="0.3">
      <c r="D253" s="2"/>
    </row>
    <row r="254" spans="4:4" x14ac:dyDescent="0.3">
      <c r="D254" s="2"/>
    </row>
    <row r="255" spans="4:4" x14ac:dyDescent="0.3">
      <c r="D255" s="2"/>
    </row>
    <row r="256" spans="4:4" x14ac:dyDescent="0.3">
      <c r="D256" s="2"/>
    </row>
    <row r="257" spans="4:4" x14ac:dyDescent="0.3">
      <c r="D257" s="2"/>
    </row>
    <row r="258" spans="4:4" x14ac:dyDescent="0.3">
      <c r="D258" s="2"/>
    </row>
    <row r="259" spans="4:4" x14ac:dyDescent="0.3">
      <c r="D259" s="2"/>
    </row>
    <row r="260" spans="4:4" x14ac:dyDescent="0.3">
      <c r="D260" s="2"/>
    </row>
    <row r="261" spans="4:4" x14ac:dyDescent="0.3">
      <c r="D261" s="2"/>
    </row>
    <row r="262" spans="4:4" x14ac:dyDescent="0.3">
      <c r="D262" s="2"/>
    </row>
    <row r="263" spans="4:4" x14ac:dyDescent="0.3">
      <c r="D263" s="2"/>
    </row>
    <row r="264" spans="4:4" x14ac:dyDescent="0.3">
      <c r="D264" s="2"/>
    </row>
    <row r="265" spans="4:4" x14ac:dyDescent="0.3">
      <c r="D265" s="2"/>
    </row>
    <row r="266" spans="4:4" x14ac:dyDescent="0.3">
      <c r="D266" s="2"/>
    </row>
    <row r="267" spans="4:4" x14ac:dyDescent="0.3">
      <c r="D267" s="2"/>
    </row>
    <row r="268" spans="4:4" x14ac:dyDescent="0.3">
      <c r="D268" s="2"/>
    </row>
    <row r="269" spans="4:4" x14ac:dyDescent="0.3">
      <c r="D269" s="2"/>
    </row>
    <row r="270" spans="4:4" x14ac:dyDescent="0.3">
      <c r="D270" s="2"/>
    </row>
    <row r="271" spans="4:4" x14ac:dyDescent="0.3">
      <c r="D271" s="2"/>
    </row>
    <row r="272" spans="4:4" x14ac:dyDescent="0.3">
      <c r="D272" s="2"/>
    </row>
    <row r="273" spans="4:4" x14ac:dyDescent="0.3">
      <c r="D273" s="2"/>
    </row>
    <row r="274" spans="4:4" x14ac:dyDescent="0.3">
      <c r="D274" s="2"/>
    </row>
    <row r="275" spans="4:4" x14ac:dyDescent="0.3">
      <c r="D275" s="2"/>
    </row>
    <row r="276" spans="4:4" x14ac:dyDescent="0.3">
      <c r="D276" s="2"/>
    </row>
    <row r="277" spans="4:4" x14ac:dyDescent="0.3">
      <c r="D277" s="2"/>
    </row>
    <row r="278" spans="4:4" x14ac:dyDescent="0.3">
      <c r="D278" s="2"/>
    </row>
    <row r="279" spans="4:4" x14ac:dyDescent="0.3">
      <c r="D279" s="2"/>
    </row>
    <row r="280" spans="4:4" x14ac:dyDescent="0.3">
      <c r="D280" s="2"/>
    </row>
    <row r="281" spans="4:4" x14ac:dyDescent="0.3">
      <c r="D281" s="2"/>
    </row>
    <row r="282" spans="4:4" x14ac:dyDescent="0.3">
      <c r="D282" s="2"/>
    </row>
    <row r="283" spans="4:4" x14ac:dyDescent="0.3">
      <c r="D283" s="2"/>
    </row>
    <row r="284" spans="4:4" x14ac:dyDescent="0.3">
      <c r="D284" s="2"/>
    </row>
    <row r="285" spans="4:4" x14ac:dyDescent="0.3">
      <c r="D285" s="2"/>
    </row>
    <row r="286" spans="4:4" x14ac:dyDescent="0.3">
      <c r="D286" s="2"/>
    </row>
    <row r="287" spans="4:4" x14ac:dyDescent="0.3">
      <c r="D287" s="2"/>
    </row>
    <row r="288" spans="4:4" x14ac:dyDescent="0.3">
      <c r="D288" s="2"/>
    </row>
    <row r="289" spans="4:4" x14ac:dyDescent="0.3">
      <c r="D289" s="2"/>
    </row>
    <row r="290" spans="4:4" x14ac:dyDescent="0.3">
      <c r="D290" s="2"/>
    </row>
    <row r="291" spans="4:4" x14ac:dyDescent="0.3">
      <c r="D291" s="2"/>
    </row>
    <row r="292" spans="4:4" x14ac:dyDescent="0.3">
      <c r="D292" s="2"/>
    </row>
    <row r="293" spans="4:4" x14ac:dyDescent="0.3">
      <c r="D293" s="2"/>
    </row>
    <row r="294" spans="4:4" x14ac:dyDescent="0.3">
      <c r="D294" s="2"/>
    </row>
    <row r="295" spans="4:4" x14ac:dyDescent="0.3">
      <c r="D295" s="2"/>
    </row>
    <row r="296" spans="4:4" x14ac:dyDescent="0.3">
      <c r="D296" s="2"/>
    </row>
    <row r="297" spans="4:4" x14ac:dyDescent="0.3">
      <c r="D297" s="2"/>
    </row>
    <row r="298" spans="4:4" x14ac:dyDescent="0.3">
      <c r="D298" s="2"/>
    </row>
    <row r="299" spans="4:4" x14ac:dyDescent="0.3">
      <c r="D299" s="2"/>
    </row>
    <row r="300" spans="4:4" x14ac:dyDescent="0.3">
      <c r="D300" s="2"/>
    </row>
    <row r="301" spans="4:4" x14ac:dyDescent="0.3">
      <c r="D301" s="2"/>
    </row>
    <row r="302" spans="4:4" x14ac:dyDescent="0.3">
      <c r="D302" s="2"/>
    </row>
    <row r="303" spans="4:4" x14ac:dyDescent="0.3">
      <c r="D303" s="2"/>
    </row>
    <row r="304" spans="4:4" x14ac:dyDescent="0.3">
      <c r="D304" s="2"/>
    </row>
    <row r="305" spans="4:4" x14ac:dyDescent="0.3">
      <c r="D305" s="2"/>
    </row>
    <row r="306" spans="4:4" x14ac:dyDescent="0.3">
      <c r="D306" s="2"/>
    </row>
    <row r="307" spans="4:4" x14ac:dyDescent="0.3">
      <c r="D307" s="2"/>
    </row>
    <row r="308" spans="4:4" x14ac:dyDescent="0.3">
      <c r="D308" s="2"/>
    </row>
    <row r="309" spans="4:4" x14ac:dyDescent="0.3">
      <c r="D309" s="2"/>
    </row>
    <row r="310" spans="4:4" x14ac:dyDescent="0.3">
      <c r="D310" s="2"/>
    </row>
    <row r="311" spans="4:4" x14ac:dyDescent="0.3">
      <c r="D311" s="2"/>
    </row>
    <row r="312" spans="4:4" x14ac:dyDescent="0.3">
      <c r="D312" s="2"/>
    </row>
    <row r="313" spans="4:4" x14ac:dyDescent="0.3">
      <c r="D313" s="2"/>
    </row>
    <row r="314" spans="4:4" x14ac:dyDescent="0.3">
      <c r="D314" s="2"/>
    </row>
    <row r="315" spans="4:4" x14ac:dyDescent="0.3">
      <c r="D315" s="2"/>
    </row>
    <row r="316" spans="4:4" x14ac:dyDescent="0.3">
      <c r="D316" s="2"/>
    </row>
    <row r="317" spans="4:4" x14ac:dyDescent="0.3">
      <c r="D317" s="2"/>
    </row>
    <row r="318" spans="4:4" x14ac:dyDescent="0.3">
      <c r="D318" s="2"/>
    </row>
    <row r="319" spans="4:4" x14ac:dyDescent="0.3">
      <c r="D319" s="2"/>
    </row>
    <row r="320" spans="4:4" x14ac:dyDescent="0.3">
      <c r="D320" s="2"/>
    </row>
    <row r="321" spans="4:4" x14ac:dyDescent="0.3">
      <c r="D321" s="2"/>
    </row>
    <row r="322" spans="4:4" x14ac:dyDescent="0.3">
      <c r="D322" s="2"/>
    </row>
    <row r="323" spans="4:4" x14ac:dyDescent="0.3">
      <c r="D323" s="2"/>
    </row>
    <row r="324" spans="4:4" x14ac:dyDescent="0.3">
      <c r="D324" s="2"/>
    </row>
    <row r="325" spans="4:4" x14ac:dyDescent="0.3">
      <c r="D325" s="2"/>
    </row>
    <row r="326" spans="4:4" x14ac:dyDescent="0.3">
      <c r="D326" s="2"/>
    </row>
    <row r="327" spans="4:4" x14ac:dyDescent="0.3">
      <c r="D327" s="2"/>
    </row>
    <row r="328" spans="4:4" x14ac:dyDescent="0.3">
      <c r="D328" s="2"/>
    </row>
    <row r="329" spans="4:4" x14ac:dyDescent="0.3">
      <c r="D329" s="2"/>
    </row>
    <row r="330" spans="4:4" x14ac:dyDescent="0.3">
      <c r="D330" s="2"/>
    </row>
    <row r="331" spans="4:4" x14ac:dyDescent="0.3">
      <c r="D331" s="2"/>
    </row>
    <row r="332" spans="4:4" x14ac:dyDescent="0.3">
      <c r="D332" s="2"/>
    </row>
    <row r="333" spans="4:4" x14ac:dyDescent="0.3">
      <c r="D333" s="2"/>
    </row>
    <row r="334" spans="4:4" x14ac:dyDescent="0.3">
      <c r="D334" s="2"/>
    </row>
    <row r="335" spans="4:4" x14ac:dyDescent="0.3">
      <c r="D335" s="2"/>
    </row>
    <row r="336" spans="4:4" x14ac:dyDescent="0.3">
      <c r="D336" s="2"/>
    </row>
    <row r="337" spans="4:4" x14ac:dyDescent="0.3">
      <c r="D337" s="2"/>
    </row>
    <row r="338" spans="4:4" x14ac:dyDescent="0.3">
      <c r="D338" s="2"/>
    </row>
    <row r="339" spans="4:4" x14ac:dyDescent="0.3">
      <c r="D339" s="2"/>
    </row>
    <row r="340" spans="4:4" x14ac:dyDescent="0.3">
      <c r="D340" s="2"/>
    </row>
    <row r="341" spans="4:4" x14ac:dyDescent="0.3">
      <c r="D341" s="2"/>
    </row>
    <row r="342" spans="4:4" x14ac:dyDescent="0.3">
      <c r="D342" s="2"/>
    </row>
    <row r="343" spans="4:4" x14ac:dyDescent="0.3">
      <c r="D343" s="2"/>
    </row>
    <row r="344" spans="4:4" x14ac:dyDescent="0.3">
      <c r="D344" s="2"/>
    </row>
    <row r="345" spans="4:4" x14ac:dyDescent="0.3">
      <c r="D345" s="2"/>
    </row>
    <row r="346" spans="4:4" x14ac:dyDescent="0.3">
      <c r="D346" s="2"/>
    </row>
    <row r="347" spans="4:4" x14ac:dyDescent="0.3">
      <c r="D347" s="2"/>
    </row>
    <row r="348" spans="4:4" x14ac:dyDescent="0.3">
      <c r="D348" s="2"/>
    </row>
    <row r="349" spans="4:4" x14ac:dyDescent="0.3">
      <c r="D349" s="2"/>
    </row>
    <row r="350" spans="4:4" x14ac:dyDescent="0.3">
      <c r="D350" s="2"/>
    </row>
    <row r="351" spans="4:4" x14ac:dyDescent="0.3">
      <c r="D351" s="2"/>
    </row>
    <row r="352" spans="4:4" x14ac:dyDescent="0.3">
      <c r="D352" s="2"/>
    </row>
    <row r="353" spans="4:4" x14ac:dyDescent="0.3">
      <c r="D353" s="2"/>
    </row>
    <row r="354" spans="4:4" x14ac:dyDescent="0.3">
      <c r="D354" s="2"/>
    </row>
    <row r="355" spans="4:4" x14ac:dyDescent="0.3">
      <c r="D355" s="2"/>
    </row>
    <row r="356" spans="4:4" x14ac:dyDescent="0.3">
      <c r="D356" s="2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EFA6-1EA7-405D-89BE-7593A2AD79FC}">
  <dimension ref="A1:B336"/>
  <sheetViews>
    <sheetView tabSelected="1" workbookViewId="0">
      <selection activeCell="F49" sqref="F49"/>
    </sheetView>
  </sheetViews>
  <sheetFormatPr defaultRowHeight="14.4" x14ac:dyDescent="0.3"/>
  <cols>
    <col min="1" max="1" width="19.33203125" bestFit="1" customWidth="1"/>
    <col min="2" max="2" width="18.5546875" customWidth="1"/>
    <col min="6" max="6" width="21.5546875" bestFit="1" customWidth="1"/>
    <col min="8" max="8" width="61.33203125" bestFit="1" customWidth="1"/>
  </cols>
  <sheetData>
    <row r="1" spans="1:2" x14ac:dyDescent="0.3">
      <c r="A1" t="s">
        <v>107</v>
      </c>
    </row>
    <row r="2" spans="1:2" x14ac:dyDescent="0.3">
      <c r="A2" t="s">
        <v>109</v>
      </c>
    </row>
    <row r="3" spans="1:2" x14ac:dyDescent="0.3">
      <c r="A3" t="s">
        <v>102</v>
      </c>
      <c r="B3" s="1" t="s">
        <v>111</v>
      </c>
    </row>
    <row r="4" spans="1:2" x14ac:dyDescent="0.3">
      <c r="A4" t="s">
        <v>97</v>
      </c>
      <c r="B4" s="1">
        <v>50</v>
      </c>
    </row>
    <row r="5" spans="1:2" x14ac:dyDescent="0.3">
      <c r="A5" t="s">
        <v>101</v>
      </c>
      <c r="B5" s="1">
        <v>25</v>
      </c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  <row r="24" spans="2:2" x14ac:dyDescent="0.3">
      <c r="B24" s="1"/>
    </row>
    <row r="25" spans="2:2" x14ac:dyDescent="0.3">
      <c r="B25" s="1"/>
    </row>
    <row r="26" spans="2:2" x14ac:dyDescent="0.3">
      <c r="B26" s="1"/>
    </row>
    <row r="27" spans="2:2" x14ac:dyDescent="0.3">
      <c r="B27" s="1"/>
    </row>
    <row r="28" spans="2:2" x14ac:dyDescent="0.3">
      <c r="B28" s="1"/>
    </row>
    <row r="29" spans="2:2" x14ac:dyDescent="0.3">
      <c r="B29" s="1"/>
    </row>
    <row r="30" spans="2:2" x14ac:dyDescent="0.3">
      <c r="B30" s="1"/>
    </row>
    <row r="31" spans="2:2" x14ac:dyDescent="0.3">
      <c r="B31" s="1"/>
    </row>
    <row r="32" spans="2:2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  <row r="43" spans="2:2" x14ac:dyDescent="0.3">
      <c r="B43" s="1"/>
    </row>
    <row r="44" spans="2:2" x14ac:dyDescent="0.3">
      <c r="B44" s="1"/>
    </row>
    <row r="45" spans="2:2" x14ac:dyDescent="0.3">
      <c r="B45" s="1"/>
    </row>
    <row r="46" spans="2:2" x14ac:dyDescent="0.3">
      <c r="B46" s="1"/>
    </row>
    <row r="47" spans="2:2" x14ac:dyDescent="0.3">
      <c r="B47" s="1"/>
    </row>
    <row r="48" spans="2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190D9-1BB3-40BB-8F5E-948E73BC8477}">
  <dimension ref="A1:D341"/>
  <sheetViews>
    <sheetView tabSelected="1" workbookViewId="0">
      <selection activeCell="F49" sqref="F49"/>
    </sheetView>
  </sheetViews>
  <sheetFormatPr defaultRowHeight="14.4" x14ac:dyDescent="0.3"/>
  <cols>
    <col min="1" max="1" width="23.44140625" customWidth="1"/>
    <col min="2" max="2" width="19.33203125" bestFit="1" customWidth="1"/>
    <col min="3" max="3" width="10.44140625" customWidth="1"/>
    <col min="4" max="4" width="18.44140625" bestFit="1" customWidth="1"/>
  </cols>
  <sheetData>
    <row r="1" spans="1:4" x14ac:dyDescent="0.3">
      <c r="A1" t="s">
        <v>107</v>
      </c>
    </row>
    <row r="2" spans="1:4" x14ac:dyDescent="0.3">
      <c r="A2" t="s">
        <v>106</v>
      </c>
    </row>
    <row r="3" spans="1:4" x14ac:dyDescent="0.3">
      <c r="A3" t="s">
        <v>110</v>
      </c>
      <c r="B3" t="s">
        <v>102</v>
      </c>
      <c r="C3" t="s">
        <v>48</v>
      </c>
      <c r="D3" s="1" t="s">
        <v>98</v>
      </c>
    </row>
    <row r="4" spans="1:4" x14ac:dyDescent="0.3">
      <c r="A4" t="s">
        <v>22</v>
      </c>
      <c r="B4" t="s">
        <v>97</v>
      </c>
      <c r="C4">
        <v>1</v>
      </c>
      <c r="D4" s="7">
        <v>0</v>
      </c>
    </row>
    <row r="5" spans="1:4" x14ac:dyDescent="0.3">
      <c r="A5" t="s">
        <v>22</v>
      </c>
      <c r="B5" t="s">
        <v>97</v>
      </c>
      <c r="C5">
        <v>2</v>
      </c>
      <c r="D5" s="7">
        <v>252.59578251647469</v>
      </c>
    </row>
    <row r="6" spans="1:4" x14ac:dyDescent="0.3">
      <c r="A6" t="s">
        <v>22</v>
      </c>
      <c r="B6" t="s">
        <v>97</v>
      </c>
      <c r="C6">
        <v>3</v>
      </c>
      <c r="D6" s="7">
        <v>396.93622966874597</v>
      </c>
    </row>
    <row r="7" spans="1:4" x14ac:dyDescent="0.3">
      <c r="A7" t="s">
        <v>22</v>
      </c>
      <c r="B7" t="s">
        <v>97</v>
      </c>
      <c r="C7">
        <v>4</v>
      </c>
      <c r="D7" s="7">
        <v>541.27667682101708</v>
      </c>
    </row>
    <row r="8" spans="1:4" x14ac:dyDescent="0.3">
      <c r="A8" t="s">
        <v>22</v>
      </c>
      <c r="B8" t="s">
        <v>97</v>
      </c>
      <c r="C8">
        <v>5</v>
      </c>
      <c r="D8" s="7">
        <v>947.2341844367802</v>
      </c>
    </row>
    <row r="9" spans="1:4" x14ac:dyDescent="0.3">
      <c r="A9" t="s">
        <v>22</v>
      </c>
      <c r="B9" t="s">
        <v>97</v>
      </c>
      <c r="C9">
        <v>6</v>
      </c>
      <c r="D9" s="7">
        <v>1353.1916920525427</v>
      </c>
    </row>
    <row r="10" spans="1:4" x14ac:dyDescent="0.3">
      <c r="A10" t="s">
        <v>22</v>
      </c>
      <c r="B10" t="s">
        <v>97</v>
      </c>
      <c r="C10">
        <v>7</v>
      </c>
      <c r="D10" s="7">
        <v>1759.1491996683062</v>
      </c>
    </row>
    <row r="11" spans="1:4" x14ac:dyDescent="0.3">
      <c r="A11" t="s">
        <v>14</v>
      </c>
      <c r="B11" t="s">
        <v>97</v>
      </c>
      <c r="C11">
        <v>1</v>
      </c>
      <c r="D11" s="7">
        <v>0</v>
      </c>
    </row>
    <row r="12" spans="1:4" x14ac:dyDescent="0.3">
      <c r="A12" t="s">
        <v>14</v>
      </c>
      <c r="B12" t="s">
        <v>97</v>
      </c>
      <c r="C12">
        <v>2</v>
      </c>
      <c r="D12" s="7">
        <v>0</v>
      </c>
    </row>
    <row r="13" spans="1:4" x14ac:dyDescent="0.3">
      <c r="A13" t="s">
        <v>14</v>
      </c>
      <c r="B13" t="s">
        <v>97</v>
      </c>
      <c r="C13">
        <v>3</v>
      </c>
      <c r="D13" s="7">
        <v>82.995757112555978</v>
      </c>
    </row>
    <row r="14" spans="1:4" x14ac:dyDescent="0.3">
      <c r="A14" t="s">
        <v>14</v>
      </c>
      <c r="B14" t="s">
        <v>97</v>
      </c>
      <c r="C14">
        <v>4</v>
      </c>
      <c r="D14" s="7">
        <v>165.99151422511196</v>
      </c>
    </row>
    <row r="15" spans="1:4" x14ac:dyDescent="0.3">
      <c r="A15" t="s">
        <v>14</v>
      </c>
      <c r="B15" t="s">
        <v>97</v>
      </c>
      <c r="C15">
        <v>5</v>
      </c>
      <c r="D15" s="7">
        <v>290.48514989394585</v>
      </c>
    </row>
    <row r="16" spans="1:4" x14ac:dyDescent="0.3">
      <c r="A16" t="s">
        <v>14</v>
      </c>
      <c r="B16" t="s">
        <v>97</v>
      </c>
      <c r="C16">
        <v>6</v>
      </c>
      <c r="D16" s="7">
        <v>414.97878556277982</v>
      </c>
    </row>
    <row r="17" spans="1:4" x14ac:dyDescent="0.3">
      <c r="A17" t="s">
        <v>14</v>
      </c>
      <c r="B17" t="s">
        <v>97</v>
      </c>
      <c r="C17">
        <v>7</v>
      </c>
      <c r="D17" s="7">
        <v>539.47242123161379</v>
      </c>
    </row>
    <row r="18" spans="1:4" x14ac:dyDescent="0.3">
      <c r="A18" t="s">
        <v>7</v>
      </c>
      <c r="B18" t="s">
        <v>101</v>
      </c>
      <c r="C18">
        <v>1</v>
      </c>
      <c r="D18" s="7">
        <v>99999999</v>
      </c>
    </row>
    <row r="19" spans="1:4" x14ac:dyDescent="0.3">
      <c r="A19" t="s">
        <v>7</v>
      </c>
      <c r="B19" t="s">
        <v>101</v>
      </c>
      <c r="C19">
        <v>2</v>
      </c>
      <c r="D19" s="7">
        <v>99999999</v>
      </c>
    </row>
    <row r="20" spans="1:4" x14ac:dyDescent="0.3">
      <c r="A20" t="s">
        <v>7</v>
      </c>
      <c r="B20" t="s">
        <v>101</v>
      </c>
      <c r="C20">
        <v>3</v>
      </c>
      <c r="D20" s="7">
        <v>99999999</v>
      </c>
    </row>
    <row r="21" spans="1:4" x14ac:dyDescent="0.3">
      <c r="A21" t="s">
        <v>7</v>
      </c>
      <c r="B21" t="s">
        <v>101</v>
      </c>
      <c r="C21">
        <v>4</v>
      </c>
      <c r="D21" s="7">
        <v>99999999</v>
      </c>
    </row>
    <row r="22" spans="1:4" x14ac:dyDescent="0.3">
      <c r="A22" t="s">
        <v>7</v>
      </c>
      <c r="B22" t="s">
        <v>101</v>
      </c>
      <c r="C22">
        <v>5</v>
      </c>
      <c r="D22" s="7">
        <v>99999999</v>
      </c>
    </row>
    <row r="23" spans="1:4" x14ac:dyDescent="0.3">
      <c r="A23" t="s">
        <v>7</v>
      </c>
      <c r="B23" t="s">
        <v>101</v>
      </c>
      <c r="C23">
        <v>6</v>
      </c>
      <c r="D23" s="7">
        <v>99999999</v>
      </c>
    </row>
    <row r="24" spans="1:4" x14ac:dyDescent="0.3">
      <c r="A24" t="s">
        <v>7</v>
      </c>
      <c r="B24" t="s">
        <v>101</v>
      </c>
      <c r="C24">
        <v>7</v>
      </c>
      <c r="D24" s="7">
        <v>99999999</v>
      </c>
    </row>
    <row r="25" spans="1:4" x14ac:dyDescent="0.3">
      <c r="A25" t="s">
        <v>19</v>
      </c>
      <c r="B25" t="s">
        <v>101</v>
      </c>
      <c r="C25">
        <v>1</v>
      </c>
      <c r="D25" s="7">
        <v>99999999</v>
      </c>
    </row>
    <row r="26" spans="1:4" x14ac:dyDescent="0.3">
      <c r="A26" t="s">
        <v>19</v>
      </c>
      <c r="B26" t="s">
        <v>101</v>
      </c>
      <c r="C26">
        <v>2</v>
      </c>
      <c r="D26" s="7">
        <v>99999999</v>
      </c>
    </row>
    <row r="27" spans="1:4" x14ac:dyDescent="0.3">
      <c r="A27" t="s">
        <v>19</v>
      </c>
      <c r="B27" t="s">
        <v>101</v>
      </c>
      <c r="C27">
        <v>3</v>
      </c>
      <c r="D27" s="7">
        <v>99999999</v>
      </c>
    </row>
    <row r="28" spans="1:4" x14ac:dyDescent="0.3">
      <c r="A28" t="s">
        <v>19</v>
      </c>
      <c r="B28" t="s">
        <v>101</v>
      </c>
      <c r="C28">
        <v>4</v>
      </c>
      <c r="D28" s="7">
        <v>99999999</v>
      </c>
    </row>
    <row r="29" spans="1:4" x14ac:dyDescent="0.3">
      <c r="A29" t="s">
        <v>19</v>
      </c>
      <c r="B29" t="s">
        <v>101</v>
      </c>
      <c r="C29">
        <v>5</v>
      </c>
      <c r="D29" s="7">
        <v>99999999</v>
      </c>
    </row>
    <row r="30" spans="1:4" x14ac:dyDescent="0.3">
      <c r="A30" t="s">
        <v>19</v>
      </c>
      <c r="B30" t="s">
        <v>101</v>
      </c>
      <c r="C30">
        <v>6</v>
      </c>
      <c r="D30" s="7">
        <v>99999999</v>
      </c>
    </row>
    <row r="31" spans="1:4" x14ac:dyDescent="0.3">
      <c r="A31" t="s">
        <v>19</v>
      </c>
      <c r="B31" t="s">
        <v>101</v>
      </c>
      <c r="C31">
        <v>7</v>
      </c>
      <c r="D31" s="7">
        <v>99999999</v>
      </c>
    </row>
    <row r="32" spans="1:4" x14ac:dyDescent="0.3">
      <c r="A32" t="s">
        <v>13</v>
      </c>
      <c r="B32" t="s">
        <v>101</v>
      </c>
      <c r="C32">
        <v>1</v>
      </c>
      <c r="D32" s="7">
        <v>99999999</v>
      </c>
    </row>
    <row r="33" spans="1:4" x14ac:dyDescent="0.3">
      <c r="A33" t="s">
        <v>13</v>
      </c>
      <c r="B33" t="s">
        <v>101</v>
      </c>
      <c r="C33">
        <v>2</v>
      </c>
      <c r="D33" s="7">
        <v>99999999</v>
      </c>
    </row>
    <row r="34" spans="1:4" x14ac:dyDescent="0.3">
      <c r="A34" t="s">
        <v>13</v>
      </c>
      <c r="B34" t="s">
        <v>101</v>
      </c>
      <c r="C34">
        <v>3</v>
      </c>
      <c r="D34" s="7">
        <v>99999999</v>
      </c>
    </row>
    <row r="35" spans="1:4" x14ac:dyDescent="0.3">
      <c r="A35" t="s">
        <v>13</v>
      </c>
      <c r="B35" t="s">
        <v>101</v>
      </c>
      <c r="C35">
        <v>4</v>
      </c>
      <c r="D35" s="7">
        <v>99999999</v>
      </c>
    </row>
    <row r="36" spans="1:4" x14ac:dyDescent="0.3">
      <c r="A36" t="s">
        <v>13</v>
      </c>
      <c r="B36" t="s">
        <v>101</v>
      </c>
      <c r="C36">
        <v>5</v>
      </c>
      <c r="D36" s="7">
        <v>99999999</v>
      </c>
    </row>
    <row r="37" spans="1:4" x14ac:dyDescent="0.3">
      <c r="A37" t="s">
        <v>13</v>
      </c>
      <c r="B37" t="s">
        <v>101</v>
      </c>
      <c r="C37">
        <v>6</v>
      </c>
      <c r="D37" s="7">
        <v>99999999</v>
      </c>
    </row>
    <row r="38" spans="1:4" x14ac:dyDescent="0.3">
      <c r="A38" t="s">
        <v>13</v>
      </c>
      <c r="B38" t="s">
        <v>101</v>
      </c>
      <c r="C38">
        <v>7</v>
      </c>
      <c r="D38" s="7">
        <v>99999999</v>
      </c>
    </row>
    <row r="39" spans="1:4" x14ac:dyDescent="0.3">
      <c r="A39" t="s">
        <v>16</v>
      </c>
      <c r="B39" t="s">
        <v>101</v>
      </c>
      <c r="C39">
        <v>1</v>
      </c>
      <c r="D39" s="7">
        <v>99999999</v>
      </c>
    </row>
    <row r="40" spans="1:4" x14ac:dyDescent="0.3">
      <c r="A40" t="s">
        <v>16</v>
      </c>
      <c r="B40" t="s">
        <v>101</v>
      </c>
      <c r="C40">
        <v>2</v>
      </c>
      <c r="D40" s="7">
        <v>99999999</v>
      </c>
    </row>
    <row r="41" spans="1:4" x14ac:dyDescent="0.3">
      <c r="A41" t="s">
        <v>16</v>
      </c>
      <c r="B41" t="s">
        <v>101</v>
      </c>
      <c r="C41">
        <v>3</v>
      </c>
      <c r="D41" s="7">
        <v>99999999</v>
      </c>
    </row>
    <row r="42" spans="1:4" x14ac:dyDescent="0.3">
      <c r="A42" t="s">
        <v>16</v>
      </c>
      <c r="B42" t="s">
        <v>101</v>
      </c>
      <c r="C42">
        <v>4</v>
      </c>
      <c r="D42" s="7">
        <v>99999999</v>
      </c>
    </row>
    <row r="43" spans="1:4" x14ac:dyDescent="0.3">
      <c r="A43" t="s">
        <v>16</v>
      </c>
      <c r="B43" t="s">
        <v>101</v>
      </c>
      <c r="C43">
        <v>5</v>
      </c>
      <c r="D43" s="7">
        <v>99999999</v>
      </c>
    </row>
    <row r="44" spans="1:4" x14ac:dyDescent="0.3">
      <c r="A44" t="s">
        <v>16</v>
      </c>
      <c r="B44" t="s">
        <v>101</v>
      </c>
      <c r="C44">
        <v>6</v>
      </c>
      <c r="D44" s="7">
        <v>99999999</v>
      </c>
    </row>
    <row r="45" spans="1:4" x14ac:dyDescent="0.3">
      <c r="A45" t="s">
        <v>16</v>
      </c>
      <c r="B45" t="s">
        <v>101</v>
      </c>
      <c r="C45">
        <v>7</v>
      </c>
      <c r="D45" s="7">
        <v>99999999</v>
      </c>
    </row>
    <row r="46" spans="1:4" x14ac:dyDescent="0.3">
      <c r="A46" t="s">
        <v>11</v>
      </c>
      <c r="B46" t="s">
        <v>101</v>
      </c>
      <c r="C46">
        <v>1</v>
      </c>
      <c r="D46" s="7">
        <v>99999999</v>
      </c>
    </row>
    <row r="47" spans="1:4" x14ac:dyDescent="0.3">
      <c r="A47" t="s">
        <v>11</v>
      </c>
      <c r="B47" t="s">
        <v>101</v>
      </c>
      <c r="C47">
        <v>2</v>
      </c>
      <c r="D47" s="7">
        <v>99999999</v>
      </c>
    </row>
    <row r="48" spans="1:4" x14ac:dyDescent="0.3">
      <c r="A48" t="s">
        <v>11</v>
      </c>
      <c r="B48" t="s">
        <v>101</v>
      </c>
      <c r="C48">
        <v>3</v>
      </c>
      <c r="D48" s="7">
        <v>99999999</v>
      </c>
    </row>
    <row r="49" spans="1:4" x14ac:dyDescent="0.3">
      <c r="A49" t="s">
        <v>11</v>
      </c>
      <c r="B49" t="s">
        <v>101</v>
      </c>
      <c r="C49">
        <v>4</v>
      </c>
      <c r="D49" s="7">
        <v>99999999</v>
      </c>
    </row>
    <row r="50" spans="1:4" x14ac:dyDescent="0.3">
      <c r="A50" t="s">
        <v>11</v>
      </c>
      <c r="B50" t="s">
        <v>101</v>
      </c>
      <c r="C50">
        <v>5</v>
      </c>
      <c r="D50" s="7">
        <v>99999999</v>
      </c>
    </row>
    <row r="51" spans="1:4" x14ac:dyDescent="0.3">
      <c r="A51" t="s">
        <v>11</v>
      </c>
      <c r="B51" t="s">
        <v>101</v>
      </c>
      <c r="C51">
        <v>6</v>
      </c>
      <c r="D51" s="7">
        <v>99999999</v>
      </c>
    </row>
    <row r="52" spans="1:4" x14ac:dyDescent="0.3">
      <c r="A52" t="s">
        <v>11</v>
      </c>
      <c r="B52" t="s">
        <v>101</v>
      </c>
      <c r="C52">
        <v>7</v>
      </c>
      <c r="D52" s="7">
        <v>99999999</v>
      </c>
    </row>
    <row r="53" spans="1:4" x14ac:dyDescent="0.3">
      <c r="A53" t="s">
        <v>17</v>
      </c>
      <c r="B53" t="s">
        <v>101</v>
      </c>
      <c r="C53">
        <v>1</v>
      </c>
      <c r="D53" s="7">
        <v>99999999</v>
      </c>
    </row>
    <row r="54" spans="1:4" x14ac:dyDescent="0.3">
      <c r="A54" t="s">
        <v>17</v>
      </c>
      <c r="B54" t="s">
        <v>101</v>
      </c>
      <c r="C54">
        <v>2</v>
      </c>
      <c r="D54" s="7">
        <v>99999999</v>
      </c>
    </row>
    <row r="55" spans="1:4" x14ac:dyDescent="0.3">
      <c r="A55" t="s">
        <v>17</v>
      </c>
      <c r="B55" t="s">
        <v>101</v>
      </c>
      <c r="C55">
        <v>3</v>
      </c>
      <c r="D55" s="7">
        <v>99999999</v>
      </c>
    </row>
    <row r="56" spans="1:4" x14ac:dyDescent="0.3">
      <c r="A56" t="s">
        <v>17</v>
      </c>
      <c r="B56" t="s">
        <v>101</v>
      </c>
      <c r="C56">
        <v>4</v>
      </c>
      <c r="D56" s="7">
        <v>99999999</v>
      </c>
    </row>
    <row r="57" spans="1:4" x14ac:dyDescent="0.3">
      <c r="A57" t="s">
        <v>17</v>
      </c>
      <c r="B57" t="s">
        <v>101</v>
      </c>
      <c r="C57">
        <v>5</v>
      </c>
      <c r="D57" s="7">
        <v>99999999</v>
      </c>
    </row>
    <row r="58" spans="1:4" x14ac:dyDescent="0.3">
      <c r="A58" t="s">
        <v>17</v>
      </c>
      <c r="B58" t="s">
        <v>101</v>
      </c>
      <c r="C58">
        <v>6</v>
      </c>
      <c r="D58" s="7">
        <v>99999999</v>
      </c>
    </row>
    <row r="59" spans="1:4" x14ac:dyDescent="0.3">
      <c r="A59" t="s">
        <v>17</v>
      </c>
      <c r="B59" t="s">
        <v>101</v>
      </c>
      <c r="C59">
        <v>7</v>
      </c>
      <c r="D59" s="7">
        <v>99999999</v>
      </c>
    </row>
    <row r="60" spans="1:4" x14ac:dyDescent="0.3">
      <c r="A60" t="s">
        <v>18</v>
      </c>
      <c r="B60" t="s">
        <v>101</v>
      </c>
      <c r="C60">
        <v>1</v>
      </c>
      <c r="D60" s="7">
        <v>99999999</v>
      </c>
    </row>
    <row r="61" spans="1:4" x14ac:dyDescent="0.3">
      <c r="A61" t="s">
        <v>18</v>
      </c>
      <c r="B61" t="s">
        <v>101</v>
      </c>
      <c r="C61">
        <v>2</v>
      </c>
      <c r="D61" s="7">
        <v>99999999</v>
      </c>
    </row>
    <row r="62" spans="1:4" x14ac:dyDescent="0.3">
      <c r="A62" t="s">
        <v>18</v>
      </c>
      <c r="B62" t="s">
        <v>101</v>
      </c>
      <c r="C62">
        <v>3</v>
      </c>
      <c r="D62" s="7">
        <v>99999999</v>
      </c>
    </row>
    <row r="63" spans="1:4" x14ac:dyDescent="0.3">
      <c r="A63" t="s">
        <v>18</v>
      </c>
      <c r="B63" t="s">
        <v>101</v>
      </c>
      <c r="C63">
        <v>4</v>
      </c>
      <c r="D63" s="7">
        <v>99999999</v>
      </c>
    </row>
    <row r="64" spans="1:4" x14ac:dyDescent="0.3">
      <c r="A64" t="s">
        <v>18</v>
      </c>
      <c r="B64" t="s">
        <v>101</v>
      </c>
      <c r="C64">
        <v>5</v>
      </c>
      <c r="D64" s="7">
        <v>99999999</v>
      </c>
    </row>
    <row r="65" spans="1:4" x14ac:dyDescent="0.3">
      <c r="A65" t="s">
        <v>18</v>
      </c>
      <c r="B65" t="s">
        <v>101</v>
      </c>
      <c r="C65">
        <v>6</v>
      </c>
      <c r="D65" s="7">
        <v>99999999</v>
      </c>
    </row>
    <row r="66" spans="1:4" x14ac:dyDescent="0.3">
      <c r="A66" t="s">
        <v>18</v>
      </c>
      <c r="B66" t="s">
        <v>101</v>
      </c>
      <c r="C66">
        <v>7</v>
      </c>
      <c r="D66" s="7">
        <v>99999999</v>
      </c>
    </row>
    <row r="67" spans="1:4" x14ac:dyDescent="0.3">
      <c r="A67" t="s">
        <v>21</v>
      </c>
      <c r="B67" t="s">
        <v>101</v>
      </c>
      <c r="C67">
        <v>1</v>
      </c>
      <c r="D67" s="7">
        <v>99999999</v>
      </c>
    </row>
    <row r="68" spans="1:4" x14ac:dyDescent="0.3">
      <c r="A68" t="s">
        <v>21</v>
      </c>
      <c r="B68" t="s">
        <v>101</v>
      </c>
      <c r="C68">
        <v>2</v>
      </c>
      <c r="D68" s="7">
        <v>99999999</v>
      </c>
    </row>
    <row r="69" spans="1:4" x14ac:dyDescent="0.3">
      <c r="A69" t="s">
        <v>21</v>
      </c>
      <c r="B69" t="s">
        <v>101</v>
      </c>
      <c r="C69">
        <v>3</v>
      </c>
      <c r="D69" s="7">
        <v>99999999</v>
      </c>
    </row>
    <row r="70" spans="1:4" x14ac:dyDescent="0.3">
      <c r="A70" t="s">
        <v>21</v>
      </c>
      <c r="B70" t="s">
        <v>101</v>
      </c>
      <c r="C70">
        <v>4</v>
      </c>
      <c r="D70" s="7">
        <v>99999999</v>
      </c>
    </row>
    <row r="71" spans="1:4" x14ac:dyDescent="0.3">
      <c r="A71" t="s">
        <v>21</v>
      </c>
      <c r="B71" t="s">
        <v>101</v>
      </c>
      <c r="C71">
        <v>5</v>
      </c>
      <c r="D71" s="7">
        <v>99999999</v>
      </c>
    </row>
    <row r="72" spans="1:4" x14ac:dyDescent="0.3">
      <c r="A72" t="s">
        <v>21</v>
      </c>
      <c r="B72" t="s">
        <v>101</v>
      </c>
      <c r="C72">
        <v>6</v>
      </c>
      <c r="D72" s="7">
        <v>99999999</v>
      </c>
    </row>
    <row r="73" spans="1:4" x14ac:dyDescent="0.3">
      <c r="A73" t="s">
        <v>21</v>
      </c>
      <c r="B73" t="s">
        <v>101</v>
      </c>
      <c r="C73">
        <v>7</v>
      </c>
      <c r="D73" s="7">
        <v>99999999</v>
      </c>
    </row>
    <row r="74" spans="1:4" x14ac:dyDescent="0.3">
      <c r="A74" t="s">
        <v>23</v>
      </c>
      <c r="B74" t="s">
        <v>101</v>
      </c>
      <c r="C74">
        <v>1</v>
      </c>
      <c r="D74" s="7">
        <v>99999999</v>
      </c>
    </row>
    <row r="75" spans="1:4" x14ac:dyDescent="0.3">
      <c r="A75" t="s">
        <v>23</v>
      </c>
      <c r="B75" t="s">
        <v>101</v>
      </c>
      <c r="C75">
        <v>2</v>
      </c>
      <c r="D75" s="7">
        <v>99999999</v>
      </c>
    </row>
    <row r="76" spans="1:4" x14ac:dyDescent="0.3">
      <c r="A76" t="s">
        <v>23</v>
      </c>
      <c r="B76" t="s">
        <v>101</v>
      </c>
      <c r="C76">
        <v>3</v>
      </c>
      <c r="D76" s="7">
        <v>99999999</v>
      </c>
    </row>
    <row r="77" spans="1:4" x14ac:dyDescent="0.3">
      <c r="A77" t="s">
        <v>23</v>
      </c>
      <c r="B77" t="s">
        <v>101</v>
      </c>
      <c r="C77">
        <v>4</v>
      </c>
      <c r="D77" s="7">
        <v>99999999</v>
      </c>
    </row>
    <row r="78" spans="1:4" x14ac:dyDescent="0.3">
      <c r="A78" t="s">
        <v>23</v>
      </c>
      <c r="B78" t="s">
        <v>101</v>
      </c>
      <c r="C78">
        <v>5</v>
      </c>
      <c r="D78" s="7">
        <v>99999999</v>
      </c>
    </row>
    <row r="79" spans="1:4" x14ac:dyDescent="0.3">
      <c r="A79" t="s">
        <v>23</v>
      </c>
      <c r="B79" t="s">
        <v>101</v>
      </c>
      <c r="C79">
        <v>6</v>
      </c>
      <c r="D79" s="7">
        <v>99999999</v>
      </c>
    </row>
    <row r="80" spans="1:4" x14ac:dyDescent="0.3">
      <c r="A80" t="s">
        <v>23</v>
      </c>
      <c r="B80" t="s">
        <v>101</v>
      </c>
      <c r="C80">
        <v>7</v>
      </c>
      <c r="D80" s="7">
        <v>99999999</v>
      </c>
    </row>
    <row r="81" spans="1:4" x14ac:dyDescent="0.3">
      <c r="A81" t="s">
        <v>27</v>
      </c>
      <c r="B81" t="s">
        <v>101</v>
      </c>
      <c r="C81">
        <v>1</v>
      </c>
      <c r="D81" s="7">
        <v>99999999</v>
      </c>
    </row>
    <row r="82" spans="1:4" x14ac:dyDescent="0.3">
      <c r="A82" t="s">
        <v>27</v>
      </c>
      <c r="B82" t="s">
        <v>101</v>
      </c>
      <c r="C82">
        <v>2</v>
      </c>
      <c r="D82" s="7">
        <v>99999999</v>
      </c>
    </row>
    <row r="83" spans="1:4" x14ac:dyDescent="0.3">
      <c r="A83" t="s">
        <v>27</v>
      </c>
      <c r="B83" t="s">
        <v>101</v>
      </c>
      <c r="C83">
        <v>3</v>
      </c>
      <c r="D83" s="7">
        <v>99999999</v>
      </c>
    </row>
    <row r="84" spans="1:4" x14ac:dyDescent="0.3">
      <c r="A84" t="s">
        <v>27</v>
      </c>
      <c r="B84" t="s">
        <v>101</v>
      </c>
      <c r="C84">
        <v>4</v>
      </c>
      <c r="D84" s="7">
        <v>99999999</v>
      </c>
    </row>
    <row r="85" spans="1:4" x14ac:dyDescent="0.3">
      <c r="A85" t="s">
        <v>27</v>
      </c>
      <c r="B85" t="s">
        <v>101</v>
      </c>
      <c r="C85">
        <v>5</v>
      </c>
      <c r="D85" s="7">
        <v>99999999</v>
      </c>
    </row>
    <row r="86" spans="1:4" x14ac:dyDescent="0.3">
      <c r="A86" t="s">
        <v>27</v>
      </c>
      <c r="B86" t="s">
        <v>101</v>
      </c>
      <c r="C86">
        <v>6</v>
      </c>
      <c r="D86" s="7">
        <v>99999999</v>
      </c>
    </row>
    <row r="87" spans="1:4" x14ac:dyDescent="0.3">
      <c r="A87" t="s">
        <v>27</v>
      </c>
      <c r="B87" t="s">
        <v>101</v>
      </c>
      <c r="C87">
        <v>7</v>
      </c>
      <c r="D87" s="7">
        <v>99999999</v>
      </c>
    </row>
    <row r="88" spans="1:4" x14ac:dyDescent="0.3">
      <c r="A88" t="s">
        <v>33</v>
      </c>
      <c r="B88" t="s">
        <v>101</v>
      </c>
      <c r="C88">
        <v>1</v>
      </c>
      <c r="D88" s="7">
        <v>99999999</v>
      </c>
    </row>
    <row r="89" spans="1:4" x14ac:dyDescent="0.3">
      <c r="A89" t="s">
        <v>33</v>
      </c>
      <c r="B89" t="s">
        <v>101</v>
      </c>
      <c r="C89">
        <v>2</v>
      </c>
      <c r="D89" s="7">
        <v>99999999</v>
      </c>
    </row>
    <row r="90" spans="1:4" x14ac:dyDescent="0.3">
      <c r="A90" t="s">
        <v>33</v>
      </c>
      <c r="B90" t="s">
        <v>101</v>
      </c>
      <c r="C90">
        <v>3</v>
      </c>
      <c r="D90" s="7">
        <v>99999999</v>
      </c>
    </row>
    <row r="91" spans="1:4" x14ac:dyDescent="0.3">
      <c r="A91" t="s">
        <v>33</v>
      </c>
      <c r="B91" t="s">
        <v>101</v>
      </c>
      <c r="C91">
        <v>4</v>
      </c>
      <c r="D91" s="7">
        <v>99999999</v>
      </c>
    </row>
    <row r="92" spans="1:4" x14ac:dyDescent="0.3">
      <c r="A92" t="s">
        <v>33</v>
      </c>
      <c r="B92" t="s">
        <v>101</v>
      </c>
      <c r="C92">
        <v>5</v>
      </c>
      <c r="D92" s="7">
        <v>99999999</v>
      </c>
    </row>
    <row r="93" spans="1:4" x14ac:dyDescent="0.3">
      <c r="A93" t="s">
        <v>33</v>
      </c>
      <c r="B93" t="s">
        <v>101</v>
      </c>
      <c r="C93">
        <v>6</v>
      </c>
      <c r="D93" s="7">
        <v>99999999</v>
      </c>
    </row>
    <row r="94" spans="1:4" x14ac:dyDescent="0.3">
      <c r="A94" t="s">
        <v>33</v>
      </c>
      <c r="B94" t="s">
        <v>101</v>
      </c>
      <c r="C94">
        <v>7</v>
      </c>
      <c r="D94" s="7">
        <v>99999999</v>
      </c>
    </row>
    <row r="95" spans="1:4" x14ac:dyDescent="0.3">
      <c r="A95" t="s">
        <v>34</v>
      </c>
      <c r="B95" t="s">
        <v>101</v>
      </c>
      <c r="C95">
        <v>1</v>
      </c>
      <c r="D95" s="7">
        <v>99999999</v>
      </c>
    </row>
    <row r="96" spans="1:4" x14ac:dyDescent="0.3">
      <c r="A96" t="s">
        <v>34</v>
      </c>
      <c r="B96" t="s">
        <v>101</v>
      </c>
      <c r="C96">
        <v>2</v>
      </c>
      <c r="D96" s="7">
        <v>99999999</v>
      </c>
    </row>
    <row r="97" spans="1:4" x14ac:dyDescent="0.3">
      <c r="A97" t="s">
        <v>34</v>
      </c>
      <c r="B97" t="s">
        <v>101</v>
      </c>
      <c r="C97">
        <v>3</v>
      </c>
      <c r="D97" s="7">
        <v>99999999</v>
      </c>
    </row>
    <row r="98" spans="1:4" x14ac:dyDescent="0.3">
      <c r="A98" t="s">
        <v>34</v>
      </c>
      <c r="B98" t="s">
        <v>101</v>
      </c>
      <c r="C98">
        <v>4</v>
      </c>
      <c r="D98" s="7">
        <v>99999999</v>
      </c>
    </row>
    <row r="99" spans="1:4" x14ac:dyDescent="0.3">
      <c r="A99" t="s">
        <v>34</v>
      </c>
      <c r="B99" t="s">
        <v>101</v>
      </c>
      <c r="C99">
        <v>5</v>
      </c>
      <c r="D99" s="7">
        <v>99999999</v>
      </c>
    </row>
    <row r="100" spans="1:4" x14ac:dyDescent="0.3">
      <c r="A100" t="s">
        <v>34</v>
      </c>
      <c r="B100" t="s">
        <v>101</v>
      </c>
      <c r="C100">
        <v>6</v>
      </c>
      <c r="D100" s="7">
        <v>99999999</v>
      </c>
    </row>
    <row r="101" spans="1:4" x14ac:dyDescent="0.3">
      <c r="A101" t="s">
        <v>34</v>
      </c>
      <c r="B101" t="s">
        <v>101</v>
      </c>
      <c r="C101">
        <v>7</v>
      </c>
      <c r="D101" s="7">
        <v>99999999</v>
      </c>
    </row>
    <row r="102" spans="1:4" x14ac:dyDescent="0.3">
      <c r="A102" t="s">
        <v>35</v>
      </c>
      <c r="B102" t="s">
        <v>101</v>
      </c>
      <c r="C102">
        <v>1</v>
      </c>
      <c r="D102" s="7">
        <v>99999999</v>
      </c>
    </row>
    <row r="103" spans="1:4" x14ac:dyDescent="0.3">
      <c r="A103" t="s">
        <v>35</v>
      </c>
      <c r="B103" t="s">
        <v>101</v>
      </c>
      <c r="C103">
        <v>2</v>
      </c>
      <c r="D103" s="7">
        <v>99999999</v>
      </c>
    </row>
    <row r="104" spans="1:4" x14ac:dyDescent="0.3">
      <c r="A104" t="s">
        <v>35</v>
      </c>
      <c r="B104" t="s">
        <v>101</v>
      </c>
      <c r="C104">
        <v>3</v>
      </c>
      <c r="D104" s="7">
        <v>99999999</v>
      </c>
    </row>
    <row r="105" spans="1:4" x14ac:dyDescent="0.3">
      <c r="A105" t="s">
        <v>35</v>
      </c>
      <c r="B105" t="s">
        <v>101</v>
      </c>
      <c r="C105">
        <v>4</v>
      </c>
      <c r="D105" s="7">
        <v>99999999</v>
      </c>
    </row>
    <row r="106" spans="1:4" x14ac:dyDescent="0.3">
      <c r="A106" t="s">
        <v>35</v>
      </c>
      <c r="B106" t="s">
        <v>101</v>
      </c>
      <c r="C106">
        <v>5</v>
      </c>
      <c r="D106" s="7">
        <v>99999999</v>
      </c>
    </row>
    <row r="107" spans="1:4" x14ac:dyDescent="0.3">
      <c r="A107" t="s">
        <v>35</v>
      </c>
      <c r="B107" t="s">
        <v>101</v>
      </c>
      <c r="C107">
        <v>6</v>
      </c>
      <c r="D107" s="7">
        <v>99999999</v>
      </c>
    </row>
    <row r="108" spans="1:4" x14ac:dyDescent="0.3">
      <c r="A108" t="s">
        <v>35</v>
      </c>
      <c r="B108" t="s">
        <v>101</v>
      </c>
      <c r="C108">
        <v>7</v>
      </c>
      <c r="D108" s="7">
        <v>99999999</v>
      </c>
    </row>
    <row r="109" spans="1:4" x14ac:dyDescent="0.3">
      <c r="A109" t="s">
        <v>22</v>
      </c>
      <c r="B109" t="s">
        <v>101</v>
      </c>
      <c r="C109">
        <v>1</v>
      </c>
      <c r="D109" s="7">
        <v>99999999</v>
      </c>
    </row>
    <row r="110" spans="1:4" x14ac:dyDescent="0.3">
      <c r="A110" t="s">
        <v>22</v>
      </c>
      <c r="B110" t="s">
        <v>101</v>
      </c>
      <c r="C110">
        <v>2</v>
      </c>
      <c r="D110" s="7">
        <v>99999999</v>
      </c>
    </row>
    <row r="111" spans="1:4" x14ac:dyDescent="0.3">
      <c r="A111" t="s">
        <v>22</v>
      </c>
      <c r="B111" t="s">
        <v>101</v>
      </c>
      <c r="C111">
        <v>3</v>
      </c>
      <c r="D111" s="7">
        <v>99999999</v>
      </c>
    </row>
    <row r="112" spans="1:4" x14ac:dyDescent="0.3">
      <c r="A112" t="s">
        <v>22</v>
      </c>
      <c r="B112" t="s">
        <v>101</v>
      </c>
      <c r="C112">
        <v>4</v>
      </c>
      <c r="D112" s="7">
        <v>99999999</v>
      </c>
    </row>
    <row r="113" spans="1:4" x14ac:dyDescent="0.3">
      <c r="A113" t="s">
        <v>22</v>
      </c>
      <c r="B113" t="s">
        <v>101</v>
      </c>
      <c r="C113">
        <v>5</v>
      </c>
      <c r="D113" s="7">
        <v>99999999</v>
      </c>
    </row>
    <row r="114" spans="1:4" x14ac:dyDescent="0.3">
      <c r="A114" t="s">
        <v>22</v>
      </c>
      <c r="B114" t="s">
        <v>101</v>
      </c>
      <c r="C114">
        <v>6</v>
      </c>
      <c r="D114" s="7">
        <v>99999999</v>
      </c>
    </row>
    <row r="115" spans="1:4" x14ac:dyDescent="0.3">
      <c r="A115" t="s">
        <v>22</v>
      </c>
      <c r="B115" t="s">
        <v>101</v>
      </c>
      <c r="C115">
        <v>7</v>
      </c>
      <c r="D115" s="7">
        <v>99999999</v>
      </c>
    </row>
    <row r="116" spans="1:4" x14ac:dyDescent="0.3">
      <c r="A116" t="s">
        <v>14</v>
      </c>
      <c r="B116" t="s">
        <v>101</v>
      </c>
      <c r="C116">
        <v>1</v>
      </c>
      <c r="D116" s="7">
        <v>99999999</v>
      </c>
    </row>
    <row r="117" spans="1:4" x14ac:dyDescent="0.3">
      <c r="A117" t="s">
        <v>14</v>
      </c>
      <c r="B117" t="s">
        <v>101</v>
      </c>
      <c r="C117">
        <v>2</v>
      </c>
      <c r="D117" s="7">
        <v>99999999</v>
      </c>
    </row>
    <row r="118" spans="1:4" x14ac:dyDescent="0.3">
      <c r="A118" t="s">
        <v>14</v>
      </c>
      <c r="B118" t="s">
        <v>101</v>
      </c>
      <c r="C118">
        <v>3</v>
      </c>
      <c r="D118" s="7">
        <v>99999999</v>
      </c>
    </row>
    <row r="119" spans="1:4" x14ac:dyDescent="0.3">
      <c r="A119" t="s">
        <v>14</v>
      </c>
      <c r="B119" t="s">
        <v>101</v>
      </c>
      <c r="C119">
        <v>4</v>
      </c>
      <c r="D119" s="7">
        <v>99999999</v>
      </c>
    </row>
    <row r="120" spans="1:4" x14ac:dyDescent="0.3">
      <c r="A120" t="s">
        <v>14</v>
      </c>
      <c r="B120" t="s">
        <v>101</v>
      </c>
      <c r="C120">
        <v>5</v>
      </c>
      <c r="D120" s="7">
        <v>99999999</v>
      </c>
    </row>
    <row r="121" spans="1:4" x14ac:dyDescent="0.3">
      <c r="A121" t="s">
        <v>14</v>
      </c>
      <c r="B121" t="s">
        <v>101</v>
      </c>
      <c r="C121">
        <v>6</v>
      </c>
      <c r="D121" s="7">
        <v>99999999</v>
      </c>
    </row>
    <row r="122" spans="1:4" x14ac:dyDescent="0.3">
      <c r="A122" t="s">
        <v>14</v>
      </c>
      <c r="B122" t="s">
        <v>101</v>
      </c>
      <c r="C122">
        <v>7</v>
      </c>
      <c r="D122" s="7">
        <v>99999999</v>
      </c>
    </row>
    <row r="123" spans="1:4" x14ac:dyDescent="0.3">
      <c r="D123" s="1"/>
    </row>
    <row r="124" spans="1:4" x14ac:dyDescent="0.3">
      <c r="D124" s="1"/>
    </row>
    <row r="125" spans="1:4" x14ac:dyDescent="0.3">
      <c r="D125" s="1"/>
    </row>
    <row r="126" spans="1:4" x14ac:dyDescent="0.3">
      <c r="D126" s="1"/>
    </row>
    <row r="127" spans="1:4" x14ac:dyDescent="0.3">
      <c r="D127" s="1"/>
    </row>
    <row r="128" spans="1:4" x14ac:dyDescent="0.3">
      <c r="D128" s="1"/>
    </row>
    <row r="129" spans="4:4" x14ac:dyDescent="0.3">
      <c r="D129" s="1"/>
    </row>
    <row r="130" spans="4:4" x14ac:dyDescent="0.3">
      <c r="D130" s="1"/>
    </row>
    <row r="131" spans="4:4" x14ac:dyDescent="0.3">
      <c r="D131" s="1"/>
    </row>
    <row r="132" spans="4:4" x14ac:dyDescent="0.3">
      <c r="D132" s="1"/>
    </row>
    <row r="133" spans="4:4" x14ac:dyDescent="0.3">
      <c r="D133" s="1"/>
    </row>
    <row r="134" spans="4:4" x14ac:dyDescent="0.3">
      <c r="D134" s="1"/>
    </row>
    <row r="135" spans="4:4" x14ac:dyDescent="0.3">
      <c r="D135" s="1"/>
    </row>
    <row r="136" spans="4:4" x14ac:dyDescent="0.3">
      <c r="D136" s="1"/>
    </row>
    <row r="137" spans="4:4" x14ac:dyDescent="0.3">
      <c r="D137" s="1"/>
    </row>
    <row r="138" spans="4:4" x14ac:dyDescent="0.3">
      <c r="D138" s="1"/>
    </row>
    <row r="139" spans="4:4" x14ac:dyDescent="0.3">
      <c r="D139" s="1"/>
    </row>
    <row r="140" spans="4:4" x14ac:dyDescent="0.3">
      <c r="D140" s="1"/>
    </row>
    <row r="141" spans="4:4" x14ac:dyDescent="0.3">
      <c r="D141" s="1"/>
    </row>
    <row r="142" spans="4:4" x14ac:dyDescent="0.3">
      <c r="D142" s="1"/>
    </row>
    <row r="143" spans="4:4" x14ac:dyDescent="0.3">
      <c r="D143" s="1"/>
    </row>
    <row r="144" spans="4:4" x14ac:dyDescent="0.3">
      <c r="D144" s="1"/>
    </row>
    <row r="145" spans="4:4" x14ac:dyDescent="0.3">
      <c r="D145" s="1"/>
    </row>
    <row r="146" spans="4:4" x14ac:dyDescent="0.3">
      <c r="D146" s="1"/>
    </row>
    <row r="147" spans="4:4" x14ac:dyDescent="0.3">
      <c r="D147" s="1"/>
    </row>
    <row r="148" spans="4:4" x14ac:dyDescent="0.3">
      <c r="D148" s="1"/>
    </row>
    <row r="149" spans="4:4" x14ac:dyDescent="0.3">
      <c r="D149" s="1"/>
    </row>
    <row r="150" spans="4:4" x14ac:dyDescent="0.3">
      <c r="D150" s="1"/>
    </row>
    <row r="151" spans="4:4" x14ac:dyDescent="0.3">
      <c r="D151" s="1"/>
    </row>
    <row r="152" spans="4:4" x14ac:dyDescent="0.3">
      <c r="D152" s="1"/>
    </row>
    <row r="153" spans="4:4" x14ac:dyDescent="0.3">
      <c r="D153" s="1"/>
    </row>
    <row r="154" spans="4:4" x14ac:dyDescent="0.3">
      <c r="D154" s="1"/>
    </row>
    <row r="155" spans="4:4" x14ac:dyDescent="0.3">
      <c r="D155" s="1"/>
    </row>
    <row r="156" spans="4:4" x14ac:dyDescent="0.3">
      <c r="D156" s="1"/>
    </row>
    <row r="157" spans="4:4" x14ac:dyDescent="0.3">
      <c r="D157" s="1"/>
    </row>
    <row r="158" spans="4:4" x14ac:dyDescent="0.3">
      <c r="D158" s="1"/>
    </row>
    <row r="159" spans="4:4" x14ac:dyDescent="0.3">
      <c r="D159" s="1"/>
    </row>
    <row r="160" spans="4:4" x14ac:dyDescent="0.3">
      <c r="D160" s="1"/>
    </row>
    <row r="161" spans="4:4" x14ac:dyDescent="0.3">
      <c r="D161" s="1"/>
    </row>
    <row r="162" spans="4:4" x14ac:dyDescent="0.3">
      <c r="D162" s="1"/>
    </row>
    <row r="163" spans="4:4" x14ac:dyDescent="0.3">
      <c r="D163" s="1"/>
    </row>
    <row r="164" spans="4:4" x14ac:dyDescent="0.3">
      <c r="D164" s="1"/>
    </row>
    <row r="165" spans="4:4" x14ac:dyDescent="0.3">
      <c r="D165" s="1"/>
    </row>
    <row r="166" spans="4:4" x14ac:dyDescent="0.3">
      <c r="D166" s="1"/>
    </row>
    <row r="167" spans="4:4" x14ac:dyDescent="0.3">
      <c r="D167" s="1"/>
    </row>
    <row r="168" spans="4:4" x14ac:dyDescent="0.3">
      <c r="D168" s="1"/>
    </row>
    <row r="169" spans="4:4" x14ac:dyDescent="0.3">
      <c r="D169" s="1"/>
    </row>
    <row r="170" spans="4:4" x14ac:dyDescent="0.3">
      <c r="D170" s="1"/>
    </row>
    <row r="171" spans="4:4" x14ac:dyDescent="0.3">
      <c r="D171" s="1"/>
    </row>
    <row r="172" spans="4:4" x14ac:dyDescent="0.3">
      <c r="D172" s="1"/>
    </row>
    <row r="173" spans="4:4" x14ac:dyDescent="0.3">
      <c r="D173" s="1"/>
    </row>
    <row r="174" spans="4:4" x14ac:dyDescent="0.3">
      <c r="D174" s="1"/>
    </row>
    <row r="175" spans="4:4" x14ac:dyDescent="0.3">
      <c r="D175" s="1"/>
    </row>
    <row r="176" spans="4:4" x14ac:dyDescent="0.3">
      <c r="D176" s="1"/>
    </row>
    <row r="177" spans="4:4" x14ac:dyDescent="0.3">
      <c r="D177" s="1"/>
    </row>
    <row r="178" spans="4:4" x14ac:dyDescent="0.3">
      <c r="D178" s="1"/>
    </row>
    <row r="179" spans="4:4" x14ac:dyDescent="0.3">
      <c r="D179" s="1"/>
    </row>
    <row r="180" spans="4:4" x14ac:dyDescent="0.3">
      <c r="D180" s="1"/>
    </row>
    <row r="181" spans="4:4" x14ac:dyDescent="0.3">
      <c r="D181" s="1"/>
    </row>
    <row r="182" spans="4:4" x14ac:dyDescent="0.3">
      <c r="D182" s="1"/>
    </row>
    <row r="183" spans="4:4" x14ac:dyDescent="0.3">
      <c r="D183" s="1"/>
    </row>
    <row r="184" spans="4:4" x14ac:dyDescent="0.3">
      <c r="D184" s="1"/>
    </row>
    <row r="185" spans="4:4" x14ac:dyDescent="0.3">
      <c r="D185" s="1"/>
    </row>
    <row r="186" spans="4:4" x14ac:dyDescent="0.3">
      <c r="D186" s="1"/>
    </row>
    <row r="187" spans="4:4" x14ac:dyDescent="0.3">
      <c r="D187" s="1"/>
    </row>
    <row r="188" spans="4:4" x14ac:dyDescent="0.3">
      <c r="D188" s="1"/>
    </row>
    <row r="189" spans="4:4" x14ac:dyDescent="0.3">
      <c r="D189" s="1"/>
    </row>
    <row r="190" spans="4:4" x14ac:dyDescent="0.3">
      <c r="D190" s="1"/>
    </row>
    <row r="191" spans="4:4" x14ac:dyDescent="0.3">
      <c r="D191" s="1"/>
    </row>
    <row r="192" spans="4:4" x14ac:dyDescent="0.3">
      <c r="D192" s="1"/>
    </row>
    <row r="193" spans="4:4" x14ac:dyDescent="0.3">
      <c r="D193" s="1"/>
    </row>
    <row r="194" spans="4:4" x14ac:dyDescent="0.3">
      <c r="D194" s="1"/>
    </row>
    <row r="195" spans="4:4" x14ac:dyDescent="0.3">
      <c r="D195" s="1"/>
    </row>
    <row r="196" spans="4:4" x14ac:dyDescent="0.3">
      <c r="D196" s="1"/>
    </row>
    <row r="197" spans="4:4" x14ac:dyDescent="0.3">
      <c r="D197" s="1"/>
    </row>
    <row r="198" spans="4:4" x14ac:dyDescent="0.3">
      <c r="D198" s="1"/>
    </row>
    <row r="199" spans="4:4" x14ac:dyDescent="0.3">
      <c r="D199" s="1"/>
    </row>
    <row r="200" spans="4:4" x14ac:dyDescent="0.3">
      <c r="D200" s="1"/>
    </row>
    <row r="201" spans="4:4" x14ac:dyDescent="0.3">
      <c r="D201" s="1"/>
    </row>
    <row r="202" spans="4:4" x14ac:dyDescent="0.3">
      <c r="D202" s="1"/>
    </row>
    <row r="203" spans="4:4" x14ac:dyDescent="0.3">
      <c r="D203" s="1"/>
    </row>
    <row r="204" spans="4:4" x14ac:dyDescent="0.3">
      <c r="D204" s="1"/>
    </row>
    <row r="205" spans="4:4" x14ac:dyDescent="0.3">
      <c r="D205" s="1"/>
    </row>
    <row r="206" spans="4:4" x14ac:dyDescent="0.3">
      <c r="D206" s="1"/>
    </row>
    <row r="207" spans="4:4" x14ac:dyDescent="0.3">
      <c r="D207" s="1"/>
    </row>
    <row r="208" spans="4:4" x14ac:dyDescent="0.3">
      <c r="D208" s="1"/>
    </row>
    <row r="209" spans="4:4" x14ac:dyDescent="0.3">
      <c r="D209" s="1"/>
    </row>
    <row r="210" spans="4:4" x14ac:dyDescent="0.3">
      <c r="D210" s="1"/>
    </row>
    <row r="211" spans="4:4" x14ac:dyDescent="0.3">
      <c r="D211" s="1"/>
    </row>
    <row r="212" spans="4:4" x14ac:dyDescent="0.3">
      <c r="D212" s="1"/>
    </row>
    <row r="213" spans="4:4" x14ac:dyDescent="0.3">
      <c r="D213" s="1"/>
    </row>
    <row r="214" spans="4:4" x14ac:dyDescent="0.3">
      <c r="D214" s="1"/>
    </row>
    <row r="215" spans="4:4" x14ac:dyDescent="0.3">
      <c r="D215" s="1"/>
    </row>
    <row r="216" spans="4:4" x14ac:dyDescent="0.3">
      <c r="D216" s="1"/>
    </row>
    <row r="217" spans="4:4" x14ac:dyDescent="0.3">
      <c r="D217" s="1"/>
    </row>
    <row r="218" spans="4:4" x14ac:dyDescent="0.3">
      <c r="D218" s="1"/>
    </row>
    <row r="219" spans="4:4" x14ac:dyDescent="0.3">
      <c r="D219" s="1"/>
    </row>
    <row r="220" spans="4:4" x14ac:dyDescent="0.3">
      <c r="D220" s="1"/>
    </row>
    <row r="221" spans="4:4" x14ac:dyDescent="0.3">
      <c r="D221" s="1"/>
    </row>
    <row r="222" spans="4:4" x14ac:dyDescent="0.3">
      <c r="D222" s="1"/>
    </row>
    <row r="223" spans="4:4" x14ac:dyDescent="0.3">
      <c r="D223" s="1"/>
    </row>
    <row r="224" spans="4:4" x14ac:dyDescent="0.3">
      <c r="D224" s="1"/>
    </row>
    <row r="225" spans="4:4" x14ac:dyDescent="0.3">
      <c r="D225" s="1"/>
    </row>
    <row r="226" spans="4:4" x14ac:dyDescent="0.3">
      <c r="D226" s="1"/>
    </row>
    <row r="227" spans="4:4" x14ac:dyDescent="0.3">
      <c r="D227" s="1"/>
    </row>
    <row r="228" spans="4:4" x14ac:dyDescent="0.3">
      <c r="D228" s="1"/>
    </row>
    <row r="229" spans="4:4" x14ac:dyDescent="0.3">
      <c r="D229" s="1"/>
    </row>
    <row r="230" spans="4:4" x14ac:dyDescent="0.3">
      <c r="D230" s="1"/>
    </row>
    <row r="231" spans="4:4" x14ac:dyDescent="0.3">
      <c r="D231" s="1"/>
    </row>
    <row r="232" spans="4:4" x14ac:dyDescent="0.3">
      <c r="D232" s="1"/>
    </row>
    <row r="233" spans="4:4" x14ac:dyDescent="0.3">
      <c r="D233" s="1"/>
    </row>
    <row r="234" spans="4:4" x14ac:dyDescent="0.3">
      <c r="D234" s="1"/>
    </row>
    <row r="235" spans="4:4" x14ac:dyDescent="0.3">
      <c r="D235" s="1"/>
    </row>
    <row r="236" spans="4:4" x14ac:dyDescent="0.3">
      <c r="D236" s="1"/>
    </row>
    <row r="237" spans="4:4" x14ac:dyDescent="0.3">
      <c r="D237" s="1"/>
    </row>
    <row r="238" spans="4:4" x14ac:dyDescent="0.3">
      <c r="D238" s="1"/>
    </row>
    <row r="239" spans="4:4" x14ac:dyDescent="0.3">
      <c r="D239" s="1"/>
    </row>
    <row r="240" spans="4:4" x14ac:dyDescent="0.3">
      <c r="D240" s="1"/>
    </row>
    <row r="241" spans="4:4" x14ac:dyDescent="0.3">
      <c r="D241" s="1"/>
    </row>
    <row r="242" spans="4:4" x14ac:dyDescent="0.3">
      <c r="D242" s="1"/>
    </row>
    <row r="243" spans="4:4" x14ac:dyDescent="0.3">
      <c r="D243" s="1"/>
    </row>
    <row r="244" spans="4:4" x14ac:dyDescent="0.3">
      <c r="D244" s="1"/>
    </row>
    <row r="245" spans="4:4" x14ac:dyDescent="0.3">
      <c r="D245" s="1"/>
    </row>
    <row r="246" spans="4:4" x14ac:dyDescent="0.3">
      <c r="D246" s="1"/>
    </row>
    <row r="247" spans="4:4" x14ac:dyDescent="0.3">
      <c r="D247" s="1"/>
    </row>
    <row r="248" spans="4:4" x14ac:dyDescent="0.3">
      <c r="D248" s="1"/>
    </row>
    <row r="249" spans="4:4" x14ac:dyDescent="0.3">
      <c r="D249" s="1"/>
    </row>
    <row r="250" spans="4:4" x14ac:dyDescent="0.3">
      <c r="D250" s="1"/>
    </row>
    <row r="251" spans="4:4" x14ac:dyDescent="0.3">
      <c r="D251" s="1"/>
    </row>
    <row r="252" spans="4:4" x14ac:dyDescent="0.3">
      <c r="D252" s="1"/>
    </row>
    <row r="253" spans="4:4" x14ac:dyDescent="0.3">
      <c r="D253" s="1"/>
    </row>
    <row r="254" spans="4:4" x14ac:dyDescent="0.3">
      <c r="D254" s="1"/>
    </row>
    <row r="255" spans="4:4" x14ac:dyDescent="0.3">
      <c r="D255" s="1"/>
    </row>
    <row r="256" spans="4:4" x14ac:dyDescent="0.3">
      <c r="D256" s="1"/>
    </row>
    <row r="257" spans="4:4" x14ac:dyDescent="0.3">
      <c r="D257" s="1"/>
    </row>
    <row r="258" spans="4:4" x14ac:dyDescent="0.3">
      <c r="D258" s="1"/>
    </row>
    <row r="259" spans="4:4" x14ac:dyDescent="0.3">
      <c r="D259" s="1"/>
    </row>
    <row r="260" spans="4:4" x14ac:dyDescent="0.3">
      <c r="D260" s="1"/>
    </row>
    <row r="261" spans="4:4" x14ac:dyDescent="0.3">
      <c r="D261" s="1"/>
    </row>
    <row r="262" spans="4:4" x14ac:dyDescent="0.3">
      <c r="D262" s="1"/>
    </row>
    <row r="263" spans="4:4" x14ac:dyDescent="0.3">
      <c r="D263" s="1"/>
    </row>
    <row r="264" spans="4:4" x14ac:dyDescent="0.3">
      <c r="D264" s="1"/>
    </row>
    <row r="265" spans="4:4" x14ac:dyDescent="0.3">
      <c r="D265" s="1"/>
    </row>
    <row r="266" spans="4:4" x14ac:dyDescent="0.3">
      <c r="D266" s="1"/>
    </row>
    <row r="267" spans="4:4" x14ac:dyDescent="0.3">
      <c r="D267" s="1"/>
    </row>
    <row r="268" spans="4:4" x14ac:dyDescent="0.3">
      <c r="D268" s="1"/>
    </row>
    <row r="269" spans="4:4" x14ac:dyDescent="0.3">
      <c r="D269" s="1"/>
    </row>
    <row r="271" spans="4:4" x14ac:dyDescent="0.3">
      <c r="D271" s="1"/>
    </row>
    <row r="272" spans="4:4" x14ac:dyDescent="0.3">
      <c r="D272" s="1"/>
    </row>
    <row r="273" spans="4:4" x14ac:dyDescent="0.3">
      <c r="D273" s="1"/>
    </row>
    <row r="274" spans="4:4" x14ac:dyDescent="0.3">
      <c r="D274" s="1"/>
    </row>
    <row r="275" spans="4:4" x14ac:dyDescent="0.3">
      <c r="D275" s="1"/>
    </row>
    <row r="276" spans="4:4" x14ac:dyDescent="0.3">
      <c r="D276" s="1"/>
    </row>
    <row r="277" spans="4:4" x14ac:dyDescent="0.3">
      <c r="D277" s="1"/>
    </row>
    <row r="279" spans="4:4" x14ac:dyDescent="0.3">
      <c r="D279" s="1"/>
    </row>
    <row r="280" spans="4:4" x14ac:dyDescent="0.3">
      <c r="D280" s="1"/>
    </row>
    <row r="281" spans="4:4" x14ac:dyDescent="0.3">
      <c r="D281" s="1"/>
    </row>
    <row r="282" spans="4:4" x14ac:dyDescent="0.3">
      <c r="D282" s="1"/>
    </row>
    <row r="283" spans="4:4" x14ac:dyDescent="0.3">
      <c r="D283" s="1"/>
    </row>
    <row r="284" spans="4:4" x14ac:dyDescent="0.3">
      <c r="D284" s="1"/>
    </row>
    <row r="285" spans="4:4" x14ac:dyDescent="0.3">
      <c r="D285" s="1"/>
    </row>
    <row r="287" spans="4:4" x14ac:dyDescent="0.3">
      <c r="D287" s="1"/>
    </row>
    <row r="288" spans="4:4" x14ac:dyDescent="0.3">
      <c r="D288" s="1"/>
    </row>
    <row r="289" spans="4:4" x14ac:dyDescent="0.3">
      <c r="D289" s="1"/>
    </row>
    <row r="290" spans="4:4" x14ac:dyDescent="0.3">
      <c r="D290" s="1"/>
    </row>
    <row r="291" spans="4:4" x14ac:dyDescent="0.3">
      <c r="D291" s="1"/>
    </row>
    <row r="292" spans="4:4" x14ac:dyDescent="0.3">
      <c r="D292" s="1"/>
    </row>
    <row r="293" spans="4:4" x14ac:dyDescent="0.3">
      <c r="D293" s="1"/>
    </row>
    <row r="295" spans="4:4" x14ac:dyDescent="0.3">
      <c r="D295" s="1"/>
    </row>
    <row r="296" spans="4:4" x14ac:dyDescent="0.3">
      <c r="D296" s="1"/>
    </row>
    <row r="297" spans="4:4" x14ac:dyDescent="0.3">
      <c r="D297" s="1"/>
    </row>
    <row r="298" spans="4:4" x14ac:dyDescent="0.3">
      <c r="D298" s="1"/>
    </row>
    <row r="299" spans="4:4" x14ac:dyDescent="0.3">
      <c r="D299" s="1"/>
    </row>
    <row r="300" spans="4:4" x14ac:dyDescent="0.3">
      <c r="D300" s="1"/>
    </row>
    <row r="301" spans="4:4" x14ac:dyDescent="0.3">
      <c r="D301" s="1"/>
    </row>
    <row r="302" spans="4:4" x14ac:dyDescent="0.3">
      <c r="D302" s="1"/>
    </row>
    <row r="303" spans="4:4" x14ac:dyDescent="0.3">
      <c r="D303" s="1"/>
    </row>
    <row r="304" spans="4:4" x14ac:dyDescent="0.3">
      <c r="D304" s="1"/>
    </row>
    <row r="305" spans="4:4" x14ac:dyDescent="0.3">
      <c r="D305" s="1"/>
    </row>
    <row r="306" spans="4:4" x14ac:dyDescent="0.3">
      <c r="D306" s="1"/>
    </row>
    <row r="307" spans="4:4" x14ac:dyDescent="0.3">
      <c r="D307" s="1"/>
    </row>
    <row r="308" spans="4:4" x14ac:dyDescent="0.3">
      <c r="D308" s="1"/>
    </row>
    <row r="309" spans="4:4" x14ac:dyDescent="0.3">
      <c r="D309" s="1"/>
    </row>
    <row r="310" spans="4:4" x14ac:dyDescent="0.3">
      <c r="D310" s="1"/>
    </row>
    <row r="311" spans="4:4" x14ac:dyDescent="0.3">
      <c r="D311" s="1"/>
    </row>
    <row r="312" spans="4:4" x14ac:dyDescent="0.3">
      <c r="D312" s="1"/>
    </row>
    <row r="313" spans="4:4" x14ac:dyDescent="0.3">
      <c r="D313" s="1"/>
    </row>
    <row r="314" spans="4:4" x14ac:dyDescent="0.3">
      <c r="D314" s="1"/>
    </row>
    <row r="315" spans="4:4" x14ac:dyDescent="0.3">
      <c r="D315" s="1"/>
    </row>
    <row r="316" spans="4:4" x14ac:dyDescent="0.3">
      <c r="D316" s="1"/>
    </row>
    <row r="317" spans="4:4" x14ac:dyDescent="0.3">
      <c r="D317" s="1"/>
    </row>
    <row r="318" spans="4:4" x14ac:dyDescent="0.3">
      <c r="D318" s="1"/>
    </row>
    <row r="319" spans="4:4" x14ac:dyDescent="0.3">
      <c r="D319" s="1"/>
    </row>
    <row r="320" spans="4:4" x14ac:dyDescent="0.3">
      <c r="D320" s="1"/>
    </row>
    <row r="321" spans="4:4" x14ac:dyDescent="0.3">
      <c r="D321" s="1"/>
    </row>
    <row r="322" spans="4:4" x14ac:dyDescent="0.3">
      <c r="D322" s="1"/>
    </row>
    <row r="323" spans="4:4" x14ac:dyDescent="0.3">
      <c r="D323" s="1"/>
    </row>
    <row r="324" spans="4:4" x14ac:dyDescent="0.3">
      <c r="D324" s="1"/>
    </row>
    <row r="325" spans="4:4" x14ac:dyDescent="0.3">
      <c r="D325" s="1"/>
    </row>
    <row r="326" spans="4:4" x14ac:dyDescent="0.3">
      <c r="D326" s="1"/>
    </row>
    <row r="327" spans="4:4" x14ac:dyDescent="0.3">
      <c r="D327" s="1"/>
    </row>
    <row r="328" spans="4:4" x14ac:dyDescent="0.3">
      <c r="D328" s="1"/>
    </row>
    <row r="329" spans="4:4" x14ac:dyDescent="0.3">
      <c r="D329" s="1"/>
    </row>
    <row r="330" spans="4:4" x14ac:dyDescent="0.3">
      <c r="D330" s="1"/>
    </row>
    <row r="331" spans="4:4" x14ac:dyDescent="0.3">
      <c r="D331" s="1"/>
    </row>
    <row r="332" spans="4:4" x14ac:dyDescent="0.3">
      <c r="D332" s="1"/>
    </row>
    <row r="333" spans="4:4" x14ac:dyDescent="0.3">
      <c r="D333" s="1"/>
    </row>
    <row r="334" spans="4:4" x14ac:dyDescent="0.3">
      <c r="D334" s="1"/>
    </row>
    <row r="335" spans="4:4" x14ac:dyDescent="0.3">
      <c r="D335" s="1"/>
    </row>
    <row r="336" spans="4:4" x14ac:dyDescent="0.3">
      <c r="D336" s="1"/>
    </row>
    <row r="337" spans="4:4" x14ac:dyDescent="0.3">
      <c r="D337" s="1"/>
    </row>
    <row r="338" spans="4:4" x14ac:dyDescent="0.3">
      <c r="D338" s="1"/>
    </row>
    <row r="339" spans="4:4" x14ac:dyDescent="0.3">
      <c r="D339" s="1"/>
    </row>
    <row r="340" spans="4:4" x14ac:dyDescent="0.3">
      <c r="D340" s="1"/>
    </row>
    <row r="341" spans="4:4" x14ac:dyDescent="0.3">
      <c r="D341" s="1"/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7E641A7C6DC643BD6AA67ED4899C86" ma:contentTypeVersion="14" ma:contentTypeDescription="Opprett et nytt dokument." ma:contentTypeScope="" ma:versionID="4cd9b23512e5ed5f06fd653b087fad24">
  <xsd:schema xmlns:xsd="http://www.w3.org/2001/XMLSchema" xmlns:xs="http://www.w3.org/2001/XMLSchema" xmlns:p="http://schemas.microsoft.com/office/2006/metadata/properties" xmlns:ns2="1603ae16-0075-49fc-8eb8-355ddc15d60c" xmlns:ns3="5ad9d0b0-d7b7-41ff-b881-929c6caa05f1" targetNamespace="http://schemas.microsoft.com/office/2006/metadata/properties" ma:root="true" ma:fieldsID="a0fd60b66c697f161fb7f5dd5e750562" ns2:_="" ns3:_="">
    <xsd:import namespace="1603ae16-0075-49fc-8eb8-355ddc15d60c"/>
    <xsd:import namespace="5ad9d0b0-d7b7-41ff-b881-929c6caa05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3ae16-0075-49fc-8eb8-355ddc15d6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emerkelapper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9d0b0-d7b7-41ff-b881-929c6caa05f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0485b93-1730-45c0-b4e6-1f7d9ffdc4f4}" ma:internalName="TaxCatchAll" ma:showField="CatchAllData" ma:web="5ad9d0b0-d7b7-41ff-b881-929c6caa05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FF01D3-3A53-47BA-9DB5-E2D93441DE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BFF363-B781-408F-A55C-B39F3BBAF5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3ae16-0075-49fc-8eb8-355ddc15d60c"/>
    <ds:schemaRef ds:uri="5ad9d0b0-d7b7-41ff-b881-929c6caa05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Generators</vt:lpstr>
      <vt:lpstr>ProductionNodes</vt:lpstr>
      <vt:lpstr>ReformerLocations</vt:lpstr>
      <vt:lpstr>ReformerPlants</vt:lpstr>
      <vt:lpstr>ReformerCapitalCost</vt:lpstr>
      <vt:lpstr>ReformerFixedOMCost</vt:lpstr>
      <vt:lpstr>ReformerVariableOMCost</vt:lpstr>
      <vt:lpstr>ReformerEfficiency</vt:lpstr>
      <vt:lpstr>ReformerElectricityUse</vt:lpstr>
      <vt:lpstr>ReformerLifetime</vt:lpstr>
      <vt:lpstr>ReformerEmissionFactor</vt:lpstr>
      <vt:lpstr>ReformerCO2CaptureFactor</vt:lpstr>
      <vt:lpstr>ElectrolyzerPlantCapitalCost</vt:lpstr>
      <vt:lpstr>ElectrolyzerFixedOMCost</vt:lpstr>
      <vt:lpstr>ElectrolyzerStackCapitalCost</vt:lpstr>
      <vt:lpstr>ElectrolyzerLifetime</vt:lpstr>
      <vt:lpstr>ElectrolyzerPowerUse</vt:lpstr>
      <vt:lpstr>PipelineCapitalCost</vt:lpstr>
      <vt:lpstr>PipelineOMCostPerKM</vt:lpstr>
      <vt:lpstr>PipelineCompressorPowerUsage</vt:lpstr>
      <vt:lpstr>H2Storages</vt:lpstr>
      <vt:lpstr>StorageCapitalCost</vt:lpstr>
      <vt:lpstr>StorageFixedOMCost</vt:lpstr>
      <vt:lpstr>StorageMaxCapacity</vt:lpstr>
      <vt:lpstr>StorageLifetime</vt:lpstr>
      <vt:lpstr>H2Terminals</vt:lpstr>
      <vt:lpstr>H2TerminalNodes</vt:lpstr>
      <vt:lpstr>H2TerminalsOfNode</vt:lpstr>
      <vt:lpstr>H2TerminalPrice</vt:lpstr>
      <vt:lpstr>H2TerminalCapitalCost</vt:lpstr>
      <vt:lpstr>H2TerminalFixedOM</vt:lpstr>
      <vt:lpstr>H2TerminalLifetime</vt:lpstr>
      <vt:lpstr>H2TerminalMaxCapacity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Frederik Dahl Nielsen</cp:lastModifiedBy>
  <dcterms:created xsi:type="dcterms:W3CDTF">2024-03-04T17:34:45Z</dcterms:created>
  <dcterms:modified xsi:type="dcterms:W3CDTF">2026-03-26T13:47:48Z</dcterms:modified>
</cp:coreProperties>
</file>