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audk-my.sharepoint.com/personal/tm84dt_plan_aau_dk/Documents/Skrivebord/Archive/Peer-reviewed papers/EMPIRE_H2Imports/EMPIRE_H2Imports/Data handler/full_model/"/>
    </mc:Choice>
  </mc:AlternateContent>
  <xr:revisionPtr revIDLastSave="5" documentId="13_ncr:1_{01A7CBCA-D9B5-46AE-9C64-015A110C06B0}" xr6:coauthVersionLast="47" xr6:coauthVersionMax="47" xr10:uidLastSave="{905C8D8D-32DA-4720-B438-29EA4F5F4DD1}"/>
  <bookViews>
    <workbookView xWindow="57480" yWindow="2595" windowWidth="38640" windowHeight="21120" firstSheet="8" activeTab="15" xr2:uid="{00000000-000D-0000-FFFF-FFFF00000000}"/>
  </bookViews>
  <sheets>
    <sheet name="StorageBleedEfficiency" sheetId="1" r:id="rId1"/>
    <sheet name="StorageChargeEff" sheetId="2" r:id="rId2"/>
    <sheet name="StorageDischargeEff" sheetId="3" r:id="rId3"/>
    <sheet name="StoragePowToEnergy" sheetId="4" r:id="rId4"/>
    <sheet name="StorageInitialEnergyLevel" sheetId="5" r:id="rId5"/>
    <sheet name="InitialPowerCapacity" sheetId="6" r:id="rId6"/>
    <sheet name="PowerCapitalCost" sheetId="7" r:id="rId7"/>
    <sheet name="PowerFixedOMCost" sheetId="8" r:id="rId8"/>
    <sheet name="PowerMaxBuiltCapacity" sheetId="9" r:id="rId9"/>
    <sheet name="EnergyCapitalCost" sheetId="10" r:id="rId10"/>
    <sheet name="EnergyFixedOMCost" sheetId="11" r:id="rId11"/>
    <sheet name="EnergyInitialCapacity" sheetId="12" r:id="rId12"/>
    <sheet name="EnergyMaxBuiltCapacity" sheetId="13" r:id="rId13"/>
    <sheet name="EnergyMaxInstalledCapacity" sheetId="14" r:id="rId14"/>
    <sheet name="PowerMaxInstalledCapacity" sheetId="15" r:id="rId15"/>
    <sheet name="Lifetime" sheetId="16" r:id="rId16"/>
  </sheets>
  <definedNames>
    <definedName name="_xlnm._FilterDatabase" localSheetId="5" hidden="1">InitialPowerCapacity!$A$3:$D$3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5" i="12" l="1"/>
  <c r="A194" i="12" s="1"/>
  <c r="C164" i="12"/>
  <c r="C193" i="12" s="1"/>
  <c r="B126" i="12"/>
  <c r="B155" i="12" s="1"/>
  <c r="B184" i="12" s="1"/>
  <c r="B125" i="12"/>
  <c r="B154" i="12" s="1"/>
  <c r="B183" i="12" s="1"/>
  <c r="B115" i="12"/>
  <c r="B144" i="12" s="1"/>
  <c r="B173" i="12" s="1"/>
  <c r="B202" i="12" s="1"/>
  <c r="C114" i="12"/>
  <c r="C143" i="12" s="1"/>
  <c r="C172" i="12" s="1"/>
  <c r="C201" i="12" s="1"/>
  <c r="B114" i="12"/>
  <c r="B143" i="12" s="1"/>
  <c r="B172" i="12" s="1"/>
  <c r="B201" i="12" s="1"/>
  <c r="A114" i="12"/>
  <c r="A143" i="12" s="1"/>
  <c r="A172" i="12" s="1"/>
  <c r="A201" i="12" s="1"/>
  <c r="C111" i="12"/>
  <c r="C140" i="12" s="1"/>
  <c r="C169" i="12" s="1"/>
  <c r="C198" i="12" s="1"/>
  <c r="B88" i="12"/>
  <c r="B117" i="12" s="1"/>
  <c r="B146" i="12" s="1"/>
  <c r="B175" i="12" s="1"/>
  <c r="B204" i="12" s="1"/>
  <c r="A88" i="12"/>
  <c r="A117" i="12" s="1"/>
  <c r="A146" i="12" s="1"/>
  <c r="A175" i="12" s="1"/>
  <c r="A204" i="12" s="1"/>
  <c r="C86" i="12"/>
  <c r="C115" i="12" s="1"/>
  <c r="C144" i="12" s="1"/>
  <c r="C173" i="12" s="1"/>
  <c r="C202" i="12" s="1"/>
  <c r="B86" i="12"/>
  <c r="B85" i="12"/>
  <c r="A85" i="12"/>
  <c r="C83" i="12"/>
  <c r="C112" i="12" s="1"/>
  <c r="C141" i="12" s="1"/>
  <c r="C170" i="12" s="1"/>
  <c r="C199" i="12" s="1"/>
  <c r="B83" i="12"/>
  <c r="B112" i="12" s="1"/>
  <c r="B141" i="12" s="1"/>
  <c r="B170" i="12" s="1"/>
  <c r="B199" i="12" s="1"/>
  <c r="C81" i="12"/>
  <c r="C110" i="12" s="1"/>
  <c r="C139" i="12" s="1"/>
  <c r="C168" i="12" s="1"/>
  <c r="C197" i="12" s="1"/>
  <c r="A80" i="12"/>
  <c r="A109" i="12" s="1"/>
  <c r="A138" i="12" s="1"/>
  <c r="A167" i="12" s="1"/>
  <c r="A196" i="12" s="1"/>
  <c r="C79" i="12"/>
  <c r="C108" i="12" s="1"/>
  <c r="C137" i="12" s="1"/>
  <c r="C166" i="12" s="1"/>
  <c r="C195" i="12" s="1"/>
  <c r="B79" i="12"/>
  <c r="B108" i="12" s="1"/>
  <c r="B137" i="12" s="1"/>
  <c r="B166" i="12" s="1"/>
  <c r="B195" i="12" s="1"/>
  <c r="A75" i="12"/>
  <c r="A104" i="12" s="1"/>
  <c r="A133" i="12" s="1"/>
  <c r="A162" i="12" s="1"/>
  <c r="A191" i="12" s="1"/>
  <c r="C73" i="12"/>
  <c r="C102" i="12" s="1"/>
  <c r="C131" i="12" s="1"/>
  <c r="C160" i="12" s="1"/>
  <c r="C189" i="12" s="1"/>
  <c r="B73" i="12"/>
  <c r="B102" i="12" s="1"/>
  <c r="B131" i="12" s="1"/>
  <c r="B160" i="12" s="1"/>
  <c r="B189" i="12" s="1"/>
  <c r="A73" i="12"/>
  <c r="A102" i="12" s="1"/>
  <c r="A131" i="12" s="1"/>
  <c r="A160" i="12" s="1"/>
  <c r="A189" i="12" s="1"/>
  <c r="A72" i="12"/>
  <c r="A101" i="12" s="1"/>
  <c r="A130" i="12" s="1"/>
  <c r="A159" i="12" s="1"/>
  <c r="A188" i="12" s="1"/>
  <c r="C71" i="12"/>
  <c r="C100" i="12" s="1"/>
  <c r="C129" i="12" s="1"/>
  <c r="C158" i="12" s="1"/>
  <c r="C187" i="12" s="1"/>
  <c r="B71" i="12"/>
  <c r="B100" i="12" s="1"/>
  <c r="B129" i="12" s="1"/>
  <c r="B158" i="12" s="1"/>
  <c r="B187" i="12" s="1"/>
  <c r="A70" i="12"/>
  <c r="A99" i="12" s="1"/>
  <c r="A128" i="12" s="1"/>
  <c r="A157" i="12" s="1"/>
  <c r="A186" i="12" s="1"/>
  <c r="C69" i="12"/>
  <c r="C98" i="12" s="1"/>
  <c r="C127" i="12" s="1"/>
  <c r="C156" i="12" s="1"/>
  <c r="C185" i="12" s="1"/>
  <c r="B69" i="12"/>
  <c r="B98" i="12" s="1"/>
  <c r="B127" i="12" s="1"/>
  <c r="B156" i="12" s="1"/>
  <c r="B185" i="12" s="1"/>
  <c r="B68" i="12"/>
  <c r="B97" i="12" s="1"/>
  <c r="C66" i="12"/>
  <c r="C95" i="12" s="1"/>
  <c r="C124" i="12" s="1"/>
  <c r="C153" i="12" s="1"/>
  <c r="C182" i="12" s="1"/>
  <c r="C61" i="12"/>
  <c r="C90" i="12" s="1"/>
  <c r="C119" i="12" s="1"/>
  <c r="C148" i="12" s="1"/>
  <c r="C177" i="12" s="1"/>
  <c r="C206" i="12" s="1"/>
  <c r="B61" i="12"/>
  <c r="B90" i="12" s="1"/>
  <c r="B119" i="12" s="1"/>
  <c r="B148" i="12" s="1"/>
  <c r="B177" i="12" s="1"/>
  <c r="B206" i="12" s="1"/>
  <c r="A61" i="12"/>
  <c r="A90" i="12" s="1"/>
  <c r="A119" i="12" s="1"/>
  <c r="A148" i="12" s="1"/>
  <c r="A177" i="12" s="1"/>
  <c r="A206" i="12" s="1"/>
  <c r="C60" i="12"/>
  <c r="C89" i="12" s="1"/>
  <c r="C118" i="12" s="1"/>
  <c r="C147" i="12" s="1"/>
  <c r="C176" i="12" s="1"/>
  <c r="C205" i="12" s="1"/>
  <c r="B60" i="12"/>
  <c r="B89" i="12" s="1"/>
  <c r="B118" i="12" s="1"/>
  <c r="B147" i="12" s="1"/>
  <c r="B176" i="12" s="1"/>
  <c r="B205" i="12" s="1"/>
  <c r="A60" i="12"/>
  <c r="A89" i="12" s="1"/>
  <c r="A118" i="12" s="1"/>
  <c r="A147" i="12" s="1"/>
  <c r="A176" i="12" s="1"/>
  <c r="A205" i="12" s="1"/>
  <c r="C59" i="12"/>
  <c r="C88" i="12" s="1"/>
  <c r="C117" i="12" s="1"/>
  <c r="C146" i="12" s="1"/>
  <c r="C175" i="12" s="1"/>
  <c r="C204" i="12" s="1"/>
  <c r="B59" i="12"/>
  <c r="A59" i="12"/>
  <c r="C58" i="12"/>
  <c r="C87" i="12" s="1"/>
  <c r="C116" i="12" s="1"/>
  <c r="C145" i="12" s="1"/>
  <c r="C174" i="12" s="1"/>
  <c r="C203" i="12" s="1"/>
  <c r="B58" i="12"/>
  <c r="B87" i="12" s="1"/>
  <c r="B116" i="12" s="1"/>
  <c r="B145" i="12" s="1"/>
  <c r="B174" i="12" s="1"/>
  <c r="B203" i="12" s="1"/>
  <c r="A58" i="12"/>
  <c r="A87" i="12" s="1"/>
  <c r="A116" i="12" s="1"/>
  <c r="A145" i="12" s="1"/>
  <c r="A174" i="12" s="1"/>
  <c r="A203" i="12" s="1"/>
  <c r="C57" i="12"/>
  <c r="B57" i="12"/>
  <c r="A57" i="12"/>
  <c r="A86" i="12" s="1"/>
  <c r="A115" i="12" s="1"/>
  <c r="A144" i="12" s="1"/>
  <c r="A173" i="12" s="1"/>
  <c r="A202" i="12" s="1"/>
  <c r="C56" i="12"/>
  <c r="C85" i="12" s="1"/>
  <c r="B56" i="12"/>
  <c r="A56" i="12"/>
  <c r="C55" i="12"/>
  <c r="C84" i="12" s="1"/>
  <c r="C113" i="12" s="1"/>
  <c r="C142" i="12" s="1"/>
  <c r="C171" i="12" s="1"/>
  <c r="C200" i="12" s="1"/>
  <c r="B55" i="12"/>
  <c r="B84" i="12" s="1"/>
  <c r="B113" i="12" s="1"/>
  <c r="B142" i="12" s="1"/>
  <c r="B171" i="12" s="1"/>
  <c r="B200" i="12" s="1"/>
  <c r="A55" i="12"/>
  <c r="A84" i="12" s="1"/>
  <c r="A113" i="12" s="1"/>
  <c r="A142" i="12" s="1"/>
  <c r="A171" i="12" s="1"/>
  <c r="A200" i="12" s="1"/>
  <c r="C54" i="12"/>
  <c r="B54" i="12"/>
  <c r="A54" i="12"/>
  <c r="A83" i="12" s="1"/>
  <c r="A112" i="12" s="1"/>
  <c r="A141" i="12" s="1"/>
  <c r="A170" i="12" s="1"/>
  <c r="A199" i="12" s="1"/>
  <c r="C53" i="12"/>
  <c r="C82" i="12" s="1"/>
  <c r="B53" i="12"/>
  <c r="B82" i="12" s="1"/>
  <c r="B111" i="12" s="1"/>
  <c r="B140" i="12" s="1"/>
  <c r="B169" i="12" s="1"/>
  <c r="B198" i="12" s="1"/>
  <c r="A53" i="12"/>
  <c r="A82" i="12" s="1"/>
  <c r="A111" i="12" s="1"/>
  <c r="A140" i="12" s="1"/>
  <c r="A169" i="12" s="1"/>
  <c r="A198" i="12" s="1"/>
  <c r="C52" i="12"/>
  <c r="B52" i="12"/>
  <c r="B81" i="12" s="1"/>
  <c r="B110" i="12" s="1"/>
  <c r="B139" i="12" s="1"/>
  <c r="B168" i="12" s="1"/>
  <c r="B197" i="12" s="1"/>
  <c r="A52" i="12"/>
  <c r="A81" i="12" s="1"/>
  <c r="A110" i="12" s="1"/>
  <c r="A139" i="12" s="1"/>
  <c r="A168" i="12" s="1"/>
  <c r="A197" i="12" s="1"/>
  <c r="C51" i="12"/>
  <c r="C80" i="12" s="1"/>
  <c r="C109" i="12" s="1"/>
  <c r="C138" i="12" s="1"/>
  <c r="C167" i="12" s="1"/>
  <c r="C196" i="12" s="1"/>
  <c r="B51" i="12"/>
  <c r="B80" i="12" s="1"/>
  <c r="B109" i="12" s="1"/>
  <c r="B138" i="12" s="1"/>
  <c r="B167" i="12" s="1"/>
  <c r="B196" i="12" s="1"/>
  <c r="A51" i="12"/>
  <c r="C50" i="12"/>
  <c r="B50" i="12"/>
  <c r="A50" i="12"/>
  <c r="A79" i="12" s="1"/>
  <c r="A108" i="12" s="1"/>
  <c r="A137" i="12" s="1"/>
  <c r="A166" i="12" s="1"/>
  <c r="A195" i="12" s="1"/>
  <c r="C49" i="12"/>
  <c r="C78" i="12" s="1"/>
  <c r="C107" i="12" s="1"/>
  <c r="C136" i="12" s="1"/>
  <c r="C165" i="12" s="1"/>
  <c r="C194" i="12" s="1"/>
  <c r="B49" i="12"/>
  <c r="B78" i="12" s="1"/>
  <c r="B107" i="12" s="1"/>
  <c r="B136" i="12" s="1"/>
  <c r="B165" i="12" s="1"/>
  <c r="B194" i="12" s="1"/>
  <c r="A49" i="12"/>
  <c r="A78" i="12" s="1"/>
  <c r="A107" i="12" s="1"/>
  <c r="A136" i="12" s="1"/>
  <c r="C48" i="12"/>
  <c r="C77" i="12" s="1"/>
  <c r="C106" i="12" s="1"/>
  <c r="C135" i="12" s="1"/>
  <c r="B48" i="12"/>
  <c r="B77" i="12" s="1"/>
  <c r="B106" i="12" s="1"/>
  <c r="B135" i="12" s="1"/>
  <c r="B164" i="12" s="1"/>
  <c r="B193" i="12" s="1"/>
  <c r="A48" i="12"/>
  <c r="A77" i="12" s="1"/>
  <c r="A106" i="12" s="1"/>
  <c r="A135" i="12" s="1"/>
  <c r="A164" i="12" s="1"/>
  <c r="A193" i="12" s="1"/>
  <c r="C47" i="12"/>
  <c r="C76" i="12" s="1"/>
  <c r="C105" i="12" s="1"/>
  <c r="C134" i="12" s="1"/>
  <c r="C163" i="12" s="1"/>
  <c r="C192" i="12" s="1"/>
  <c r="B47" i="12"/>
  <c r="B76" i="12" s="1"/>
  <c r="B105" i="12" s="1"/>
  <c r="B134" i="12" s="1"/>
  <c r="B163" i="12" s="1"/>
  <c r="B192" i="12" s="1"/>
  <c r="A47" i="12"/>
  <c r="A76" i="12" s="1"/>
  <c r="A105" i="12" s="1"/>
  <c r="A134" i="12" s="1"/>
  <c r="A163" i="12" s="1"/>
  <c r="A192" i="12" s="1"/>
  <c r="C46" i="12"/>
  <c r="C75" i="12" s="1"/>
  <c r="C104" i="12" s="1"/>
  <c r="C133" i="12" s="1"/>
  <c r="C162" i="12" s="1"/>
  <c r="C191" i="12" s="1"/>
  <c r="B46" i="12"/>
  <c r="B75" i="12" s="1"/>
  <c r="B104" i="12" s="1"/>
  <c r="B133" i="12" s="1"/>
  <c r="B162" i="12" s="1"/>
  <c r="B191" i="12" s="1"/>
  <c r="A46" i="12"/>
  <c r="C45" i="12"/>
  <c r="C74" i="12" s="1"/>
  <c r="C103" i="12" s="1"/>
  <c r="C132" i="12" s="1"/>
  <c r="C161" i="12" s="1"/>
  <c r="C190" i="12" s="1"/>
  <c r="B45" i="12"/>
  <c r="B74" i="12" s="1"/>
  <c r="B103" i="12" s="1"/>
  <c r="B132" i="12" s="1"/>
  <c r="B161" i="12" s="1"/>
  <c r="B190" i="12" s="1"/>
  <c r="A45" i="12"/>
  <c r="A74" i="12" s="1"/>
  <c r="A103" i="12" s="1"/>
  <c r="A132" i="12" s="1"/>
  <c r="A161" i="12" s="1"/>
  <c r="A190" i="12" s="1"/>
  <c r="C44" i="12"/>
  <c r="B44" i="12"/>
  <c r="A44" i="12"/>
  <c r="C43" i="12"/>
  <c r="C72" i="12" s="1"/>
  <c r="C101" i="12" s="1"/>
  <c r="C130" i="12" s="1"/>
  <c r="C159" i="12" s="1"/>
  <c r="C188" i="12" s="1"/>
  <c r="B43" i="12"/>
  <c r="B72" i="12" s="1"/>
  <c r="B101" i="12" s="1"/>
  <c r="B130" i="12" s="1"/>
  <c r="B159" i="12" s="1"/>
  <c r="B188" i="12" s="1"/>
  <c r="A43" i="12"/>
  <c r="C42" i="12"/>
  <c r="B42" i="12"/>
  <c r="A42" i="12"/>
  <c r="A71" i="12" s="1"/>
  <c r="A100" i="12" s="1"/>
  <c r="A129" i="12" s="1"/>
  <c r="A158" i="12" s="1"/>
  <c r="A187" i="12" s="1"/>
  <c r="C41" i="12"/>
  <c r="C70" i="12" s="1"/>
  <c r="C99" i="12" s="1"/>
  <c r="C128" i="12" s="1"/>
  <c r="C157" i="12" s="1"/>
  <c r="C186" i="12" s="1"/>
  <c r="B41" i="12"/>
  <c r="B70" i="12" s="1"/>
  <c r="B99" i="12" s="1"/>
  <c r="B128" i="12" s="1"/>
  <c r="B157" i="12" s="1"/>
  <c r="B186" i="12" s="1"/>
  <c r="A41" i="12"/>
  <c r="C40" i="12"/>
  <c r="B40" i="12"/>
  <c r="A40" i="12"/>
  <c r="A69" i="12" s="1"/>
  <c r="A98" i="12" s="1"/>
  <c r="A127" i="12" s="1"/>
  <c r="A156" i="12" s="1"/>
  <c r="A185" i="12" s="1"/>
  <c r="C39" i="12"/>
  <c r="C68" i="12" s="1"/>
  <c r="C97" i="12" s="1"/>
  <c r="C126" i="12" s="1"/>
  <c r="C155" i="12" s="1"/>
  <c r="C184" i="12" s="1"/>
  <c r="B39" i="12"/>
  <c r="A39" i="12"/>
  <c r="A68" i="12" s="1"/>
  <c r="A97" i="12" s="1"/>
  <c r="A126" i="12" s="1"/>
  <c r="A155" i="12" s="1"/>
  <c r="A184" i="12" s="1"/>
  <c r="C38" i="12"/>
  <c r="C67" i="12" s="1"/>
  <c r="C96" i="12" s="1"/>
  <c r="C125" i="12" s="1"/>
  <c r="C154" i="12" s="1"/>
  <c r="C183" i="12" s="1"/>
  <c r="B38" i="12"/>
  <c r="B67" i="12" s="1"/>
  <c r="B96" i="12" s="1"/>
  <c r="A38" i="12"/>
  <c r="A67" i="12" s="1"/>
  <c r="A96" i="12" s="1"/>
  <c r="A125" i="12" s="1"/>
  <c r="A154" i="12" s="1"/>
  <c r="A183" i="12" s="1"/>
  <c r="C37" i="12"/>
  <c r="B37" i="12"/>
  <c r="B66" i="12" s="1"/>
  <c r="B95" i="12" s="1"/>
  <c r="B124" i="12" s="1"/>
  <c r="B153" i="12" s="1"/>
  <c r="B182" i="12" s="1"/>
  <c r="A37" i="12"/>
  <c r="A66" i="12" s="1"/>
  <c r="A95" i="12" s="1"/>
  <c r="A124" i="12" s="1"/>
  <c r="A153" i="12" s="1"/>
  <c r="A182" i="12" s="1"/>
  <c r="C36" i="12"/>
  <c r="C65" i="12" s="1"/>
  <c r="C94" i="12" s="1"/>
  <c r="C123" i="12" s="1"/>
  <c r="C152" i="12" s="1"/>
  <c r="C181" i="12" s="1"/>
  <c r="B36" i="12"/>
  <c r="B65" i="12" s="1"/>
  <c r="B94" i="12" s="1"/>
  <c r="B123" i="12" s="1"/>
  <c r="B152" i="12" s="1"/>
  <c r="B181" i="12" s="1"/>
  <c r="A36" i="12"/>
  <c r="A65" i="12" s="1"/>
  <c r="A94" i="12" s="1"/>
  <c r="A123" i="12" s="1"/>
  <c r="A152" i="12" s="1"/>
  <c r="A181" i="12" s="1"/>
  <c r="C35" i="12"/>
  <c r="C64" i="12" s="1"/>
  <c r="C93" i="12" s="1"/>
  <c r="C122" i="12" s="1"/>
  <c r="C151" i="12" s="1"/>
  <c r="C180" i="12" s="1"/>
  <c r="B35" i="12"/>
  <c r="B64" i="12" s="1"/>
  <c r="B93" i="12" s="1"/>
  <c r="B122" i="12" s="1"/>
  <c r="B151" i="12" s="1"/>
  <c r="B180" i="12" s="1"/>
  <c r="A35" i="12"/>
  <c r="A64" i="12" s="1"/>
  <c r="A93" i="12" s="1"/>
  <c r="A122" i="12" s="1"/>
  <c r="A151" i="12" s="1"/>
  <c r="A180" i="12" s="1"/>
  <c r="C34" i="12"/>
  <c r="C63" i="12" s="1"/>
  <c r="C92" i="12" s="1"/>
  <c r="C121" i="12" s="1"/>
  <c r="C150" i="12" s="1"/>
  <c r="C179" i="12" s="1"/>
  <c r="B34" i="12"/>
  <c r="B63" i="12" s="1"/>
  <c r="B92" i="12" s="1"/>
  <c r="B121" i="12" s="1"/>
  <c r="B150" i="12" s="1"/>
  <c r="B179" i="12" s="1"/>
  <c r="A34" i="12"/>
  <c r="A63" i="12" s="1"/>
  <c r="A92" i="12" s="1"/>
  <c r="A121" i="12" s="1"/>
  <c r="A150" i="12" s="1"/>
  <c r="A179" i="12" s="1"/>
  <c r="A33" i="12"/>
  <c r="A62" i="12" s="1"/>
  <c r="A91" i="12" s="1"/>
  <c r="A120" i="12" s="1"/>
  <c r="A149" i="12" s="1"/>
  <c r="A178" i="12" s="1"/>
  <c r="B33" i="12"/>
  <c r="B62" i="12" s="1"/>
  <c r="B91" i="12" s="1"/>
  <c r="B120" i="12" s="1"/>
  <c r="B149" i="12" s="1"/>
  <c r="B178" i="12" s="1"/>
  <c r="C33" i="12"/>
  <c r="C62" i="12" s="1"/>
  <c r="C91" i="12" s="1"/>
  <c r="C120" i="12" s="1"/>
  <c r="C149" i="12" s="1"/>
  <c r="C178" i="12" s="1"/>
  <c r="C61" i="6"/>
  <c r="C90" i="6" s="1"/>
  <c r="C119" i="6" s="1"/>
  <c r="C148" i="6" s="1"/>
  <c r="C177" i="6" s="1"/>
  <c r="C206" i="6" s="1"/>
  <c r="C60" i="6"/>
  <c r="C89" i="6" s="1"/>
  <c r="C118" i="6" s="1"/>
  <c r="C147" i="6" s="1"/>
  <c r="C176" i="6" s="1"/>
  <c r="C205" i="6" s="1"/>
  <c r="C59" i="6"/>
  <c r="C88" i="6" s="1"/>
  <c r="C117" i="6" s="1"/>
  <c r="C146" i="6" s="1"/>
  <c r="C175" i="6" s="1"/>
  <c r="C204" i="6" s="1"/>
  <c r="C58" i="6"/>
  <c r="C87" i="6" s="1"/>
  <c r="C116" i="6" s="1"/>
  <c r="C145" i="6" s="1"/>
  <c r="C174" i="6" s="1"/>
  <c r="C203" i="6" s="1"/>
  <c r="C57" i="6"/>
  <c r="C86" i="6" s="1"/>
  <c r="C115" i="6" s="1"/>
  <c r="C144" i="6" s="1"/>
  <c r="C173" i="6" s="1"/>
  <c r="C202" i="6" s="1"/>
  <c r="C56" i="6"/>
  <c r="C85" i="6" s="1"/>
  <c r="C114" i="6" s="1"/>
  <c r="C143" i="6" s="1"/>
  <c r="C172" i="6" s="1"/>
  <c r="C201" i="6" s="1"/>
  <c r="C55" i="6"/>
  <c r="C84" i="6" s="1"/>
  <c r="C113" i="6" s="1"/>
  <c r="C142" i="6" s="1"/>
  <c r="C171" i="6" s="1"/>
  <c r="C200" i="6" s="1"/>
  <c r="C54" i="6"/>
  <c r="C83" i="6" s="1"/>
  <c r="C112" i="6" s="1"/>
  <c r="C141" i="6" s="1"/>
  <c r="C170" i="6" s="1"/>
  <c r="C199" i="6" s="1"/>
  <c r="C53" i="6"/>
  <c r="C82" i="6" s="1"/>
  <c r="C111" i="6" s="1"/>
  <c r="C140" i="6" s="1"/>
  <c r="C169" i="6" s="1"/>
  <c r="C198" i="6" s="1"/>
  <c r="C52" i="6"/>
  <c r="C81" i="6" s="1"/>
  <c r="C110" i="6" s="1"/>
  <c r="C139" i="6" s="1"/>
  <c r="C168" i="6" s="1"/>
  <c r="C197" i="6" s="1"/>
  <c r="C51" i="6"/>
  <c r="C80" i="6" s="1"/>
  <c r="C109" i="6" s="1"/>
  <c r="C138" i="6" s="1"/>
  <c r="C167" i="6" s="1"/>
  <c r="C196" i="6" s="1"/>
  <c r="C50" i="6"/>
  <c r="C79" i="6" s="1"/>
  <c r="C108" i="6" s="1"/>
  <c r="C137" i="6" s="1"/>
  <c r="C166" i="6" s="1"/>
  <c r="C195" i="6" s="1"/>
  <c r="C49" i="6"/>
  <c r="C78" i="6" s="1"/>
  <c r="C107" i="6" s="1"/>
  <c r="C136" i="6" s="1"/>
  <c r="C165" i="6" s="1"/>
  <c r="C194" i="6" s="1"/>
  <c r="C48" i="6"/>
  <c r="C77" i="6" s="1"/>
  <c r="C106" i="6" s="1"/>
  <c r="C135" i="6" s="1"/>
  <c r="C164" i="6" s="1"/>
  <c r="C193" i="6" s="1"/>
  <c r="C47" i="6"/>
  <c r="C76" i="6" s="1"/>
  <c r="C105" i="6" s="1"/>
  <c r="C134" i="6" s="1"/>
  <c r="C163" i="6" s="1"/>
  <c r="C192" i="6" s="1"/>
  <c r="C46" i="6"/>
  <c r="C75" i="6" s="1"/>
  <c r="C104" i="6" s="1"/>
  <c r="C133" i="6" s="1"/>
  <c r="C162" i="6" s="1"/>
  <c r="C191" i="6" s="1"/>
  <c r="C45" i="6"/>
  <c r="C74" i="6" s="1"/>
  <c r="C103" i="6" s="1"/>
  <c r="C132" i="6" s="1"/>
  <c r="C161" i="6" s="1"/>
  <c r="C190" i="6" s="1"/>
  <c r="C44" i="6"/>
  <c r="C73" i="6" s="1"/>
  <c r="C102" i="6" s="1"/>
  <c r="C131" i="6" s="1"/>
  <c r="C160" i="6" s="1"/>
  <c r="C189" i="6" s="1"/>
  <c r="C43" i="6"/>
  <c r="C72" i="6" s="1"/>
  <c r="C101" i="6" s="1"/>
  <c r="C130" i="6" s="1"/>
  <c r="C159" i="6" s="1"/>
  <c r="C188" i="6" s="1"/>
  <c r="C42" i="6"/>
  <c r="C71" i="6" s="1"/>
  <c r="C100" i="6" s="1"/>
  <c r="C129" i="6" s="1"/>
  <c r="C158" i="6" s="1"/>
  <c r="C187" i="6" s="1"/>
  <c r="C41" i="6"/>
  <c r="C70" i="6" s="1"/>
  <c r="C99" i="6" s="1"/>
  <c r="C128" i="6" s="1"/>
  <c r="C157" i="6" s="1"/>
  <c r="C186" i="6" s="1"/>
  <c r="C40" i="6"/>
  <c r="C69" i="6" s="1"/>
  <c r="C98" i="6" s="1"/>
  <c r="C127" i="6" s="1"/>
  <c r="C156" i="6" s="1"/>
  <c r="C185" i="6" s="1"/>
  <c r="C39" i="6"/>
  <c r="C68" i="6" s="1"/>
  <c r="C97" i="6" s="1"/>
  <c r="C126" i="6" s="1"/>
  <c r="C155" i="6" s="1"/>
  <c r="C184" i="6" s="1"/>
  <c r="C38" i="6"/>
  <c r="C67" i="6" s="1"/>
  <c r="C96" i="6" s="1"/>
  <c r="C125" i="6" s="1"/>
  <c r="C154" i="6" s="1"/>
  <c r="C183" i="6" s="1"/>
  <c r="C37" i="6"/>
  <c r="C66" i="6" s="1"/>
  <c r="C95" i="6" s="1"/>
  <c r="C124" i="6" s="1"/>
  <c r="C153" i="6" s="1"/>
  <c r="C182" i="6" s="1"/>
  <c r="C36" i="6"/>
  <c r="C65" i="6" s="1"/>
  <c r="C94" i="6" s="1"/>
  <c r="C123" i="6" s="1"/>
  <c r="C152" i="6" s="1"/>
  <c r="C181" i="6" s="1"/>
  <c r="C35" i="6"/>
  <c r="C64" i="6" s="1"/>
  <c r="C93" i="6" s="1"/>
  <c r="C122" i="6" s="1"/>
  <c r="C151" i="6" s="1"/>
  <c r="C180" i="6" s="1"/>
  <c r="C34" i="6"/>
  <c r="C63" i="6" s="1"/>
  <c r="C92" i="6" s="1"/>
  <c r="C121" i="6" s="1"/>
  <c r="C150" i="6" s="1"/>
  <c r="C179" i="6" s="1"/>
  <c r="C33" i="6"/>
  <c r="C62" i="6" s="1"/>
  <c r="C91" i="6" s="1"/>
  <c r="C120" i="6" s="1"/>
  <c r="C149" i="6" s="1"/>
  <c r="C178" i="6" s="1"/>
</calcChain>
</file>

<file path=xl/sharedStrings.xml><?xml version="1.0" encoding="utf-8"?>
<sst xmlns="http://schemas.openxmlformats.org/spreadsheetml/2006/main" count="1125" uniqueCount="78">
  <si>
    <t>Source: Assumed</t>
  </si>
  <si>
    <t>Description: Hourly percentage of spillage (self-discharge) of storage types (default: 1 - no self-discharge)</t>
  </si>
  <si>
    <t>StorageType</t>
  </si>
  <si>
    <t>Hydro Pump Storage</t>
  </si>
  <si>
    <t>Li-Ion_BESS</t>
  </si>
  <si>
    <t>storageBleedEff</t>
  </si>
  <si>
    <t>Description: Efficiency of charging a storage (non-spillage during charging) (default: 1)</t>
  </si>
  <si>
    <t>storageChargeEff</t>
  </si>
  <si>
    <t>Description: Efficiency of discharging a storage (non-spillage during discharging) (default: 1)</t>
  </si>
  <si>
    <t>storageDischargeEff</t>
  </si>
  <si>
    <t>Description: Required ratio between installed power of storage and installed energy of storage (default: 1)</t>
  </si>
  <si>
    <t>Description: Percentage of installed capacity available in first hour of a season (default: 0)</t>
  </si>
  <si>
    <t>StorageInitialEnergyLevel as a percentage of StorageInstalledEnergyCapacity</t>
  </si>
  <si>
    <t>Source: STATISTICAL FACTSHEET 2018 (ENTSO-E)</t>
  </si>
  <si>
    <t>Description: Initial capacity in each investment period. NB! No retirement (default: 0)</t>
  </si>
  <si>
    <t>Nodes</t>
  </si>
  <si>
    <t>Austria</t>
  </si>
  <si>
    <t>Bosnia H</t>
  </si>
  <si>
    <t>Belgium</t>
  </si>
  <si>
    <t>Bulgaria</t>
  </si>
  <si>
    <t>Switzerland</t>
  </si>
  <si>
    <t>Czech R</t>
  </si>
  <si>
    <t>Germany</t>
  </si>
  <si>
    <t>Spain</t>
  </si>
  <si>
    <t>France</t>
  </si>
  <si>
    <t>Great Brit.</t>
  </si>
  <si>
    <t>Greece</t>
  </si>
  <si>
    <t>Croatia</t>
  </si>
  <si>
    <t>Hungary</t>
  </si>
  <si>
    <t>Ireland</t>
  </si>
  <si>
    <t>Italy</t>
  </si>
  <si>
    <t>Lithuania</t>
  </si>
  <si>
    <t>Luxemb.</t>
  </si>
  <si>
    <t>NO1</t>
  </si>
  <si>
    <t>NO2</t>
  </si>
  <si>
    <t>NO3</t>
  </si>
  <si>
    <t>NO4</t>
  </si>
  <si>
    <t>NO5</t>
  </si>
  <si>
    <t>Poland</t>
  </si>
  <si>
    <t>Portugal</t>
  </si>
  <si>
    <t>Romania</t>
  </si>
  <si>
    <t>Serbia</t>
  </si>
  <si>
    <t>Sweden</t>
  </si>
  <si>
    <t>Slovenia</t>
  </si>
  <si>
    <t>Slovakia</t>
  </si>
  <si>
    <t>StorageTypes</t>
  </si>
  <si>
    <t>Period</t>
  </si>
  <si>
    <t>InitialPowerCapacity</t>
  </si>
  <si>
    <t>Source: Battery cost medish (Cole et al 2016) 2014$/kWh</t>
  </si>
  <si>
    <t>Description: Capital cost for investing in power of storage (default: 0)</t>
  </si>
  <si>
    <t>PowerCapitalCost in euro per kW</t>
  </si>
  <si>
    <t>Description: Fixed O&amp;M cost for investing in power of storage (default: 0)</t>
  </si>
  <si>
    <t>PowerFixedOMCost in euro per kW</t>
  </si>
  <si>
    <t>Description: Maximum capacity expansion of power of storage type in one node and period (default: 500 000)</t>
  </si>
  <si>
    <t>Finland</t>
  </si>
  <si>
    <t>Macedonia</t>
  </si>
  <si>
    <t>Denmark</t>
  </si>
  <si>
    <t>Estonia</t>
  </si>
  <si>
    <t>Latvia</t>
  </si>
  <si>
    <t>Netherlands</t>
  </si>
  <si>
    <t>PowerMaxBuiltCapacity</t>
  </si>
  <si>
    <t>Description: Capital cost for investing in energy storage capacity (default: 0)</t>
  </si>
  <si>
    <t>EnergyCapitalCost in euro per kWh</t>
  </si>
  <si>
    <t>Description: Fixed O&amp;M cost for investing in energy storage capacity (default: 0)</t>
  </si>
  <si>
    <t>EnergyFixedOMCost in euro per kWh</t>
  </si>
  <si>
    <t>Source: Eurelectric, ISO, ENTSO-E, ZEP</t>
  </si>
  <si>
    <t>Description: Initial capacity in node and investment period of a storage type. NB! No retirement (default: 0)</t>
  </si>
  <si>
    <t>EnergyInitialCapacity</t>
  </si>
  <si>
    <t>Description: Maximum capacity expansion of energy of storage type in one node and period (default: 500 000)</t>
  </si>
  <si>
    <t>EnergyMaxBuiltCapacity</t>
  </si>
  <si>
    <t>Source: Eurelectric: 'Hydro in Europe: Powering Renewables' (+10% of existing capacity)</t>
  </si>
  <si>
    <t>Description: Maximum installed capacity in all time periods of energy of storage type (default: 0)</t>
  </si>
  <si>
    <t>EnergyMaxInstalledCapacity</t>
  </si>
  <si>
    <t>Source: Eurelectric, ISO, ENTSO-E, ZEP (+50% of installed capacity)</t>
  </si>
  <si>
    <t>Description: Maximum installed capacity in all time periods of power of storage type (default: 0)</t>
  </si>
  <si>
    <t>PowerMaxInstalledCapacity</t>
  </si>
  <si>
    <t>Description: Lifetime in years of storage type (default: 0)</t>
  </si>
  <si>
    <t>storageLifetime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</si>
</sst>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J51" sqref="J51"/>
    </sheetView>
  </sheetViews>
  <sheetFormatPr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1</v>
      </c>
    </row>
    <row r="3" spans="1:2" x14ac:dyDescent="0.3">
      <c r="A3" t="s">
        <v>2</v>
      </c>
      <c r="B3" t="s">
        <v>5</v>
      </c>
    </row>
    <row r="4" spans="1:2" x14ac:dyDescent="0.3">
      <c r="A4" t="s">
        <v>3</v>
      </c>
      <c r="B4">
        <v>1</v>
      </c>
    </row>
    <row r="5" spans="1:2" x14ac:dyDescent="0.3">
      <c r="A5" t="s">
        <v>4</v>
      </c>
      <c r="B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5" sqref="B5"/>
    </sheetView>
  </sheetViews>
  <sheetFormatPr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6</v>
      </c>
    </row>
    <row r="3" spans="1:2" x14ac:dyDescent="0.3">
      <c r="A3" t="s">
        <v>2</v>
      </c>
      <c r="B3" t="s">
        <v>7</v>
      </c>
    </row>
    <row r="4" spans="1:2" x14ac:dyDescent="0.3">
      <c r="A4" t="s">
        <v>3</v>
      </c>
      <c r="B4">
        <v>0.8</v>
      </c>
    </row>
    <row r="5" spans="1:2" x14ac:dyDescent="0.3">
      <c r="A5" t="s">
        <v>4</v>
      </c>
      <c r="B5">
        <v>0.91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8</v>
      </c>
    </row>
    <row r="3" spans="1:2" x14ac:dyDescent="0.3">
      <c r="A3" t="s">
        <v>2</v>
      </c>
      <c r="B3" t="s">
        <v>9</v>
      </c>
    </row>
    <row r="4" spans="1:2" x14ac:dyDescent="0.3">
      <c r="A4" t="s">
        <v>3</v>
      </c>
      <c r="B4">
        <v>1</v>
      </c>
    </row>
    <row r="5" spans="1:2" x14ac:dyDescent="0.3">
      <c r="A5" t="s">
        <v>4</v>
      </c>
      <c r="B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10</v>
      </c>
    </row>
    <row r="3" spans="1:2" x14ac:dyDescent="0.3">
      <c r="A3" t="s">
        <v>2</v>
      </c>
      <c r="B3" t="s">
        <v>7</v>
      </c>
    </row>
    <row r="4" spans="1:2" x14ac:dyDescent="0.3">
      <c r="A4" t="s">
        <v>4</v>
      </c>
      <c r="B4">
        <v>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11</v>
      </c>
    </row>
    <row r="3" spans="1:2" x14ac:dyDescent="0.3">
      <c r="A3" t="s">
        <v>2</v>
      </c>
      <c r="B3" t="s">
        <v>12</v>
      </c>
    </row>
    <row r="4" spans="1:2" x14ac:dyDescent="0.3">
      <c r="A4" t="s">
        <v>3</v>
      </c>
      <c r="B4">
        <v>0.5</v>
      </c>
    </row>
    <row r="5" spans="1:2" x14ac:dyDescent="0.3">
      <c r="A5" t="s">
        <v>4</v>
      </c>
      <c r="B5">
        <v>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06"/>
  <sheetViews>
    <sheetView workbookViewId="0"/>
  </sheetViews>
  <sheetFormatPr defaultColWidth="8.88671875" defaultRowHeight="14.4" x14ac:dyDescent="0.3"/>
  <cols>
    <col min="2" max="2" width="19.109375" customWidth="1"/>
  </cols>
  <sheetData>
    <row r="1" spans="1:4" x14ac:dyDescent="0.3">
      <c r="A1" t="s">
        <v>13</v>
      </c>
    </row>
    <row r="2" spans="1:4" x14ac:dyDescent="0.3">
      <c r="A2" t="s">
        <v>14</v>
      </c>
    </row>
    <row r="3" spans="1:4" x14ac:dyDescent="0.3">
      <c r="A3" t="s">
        <v>15</v>
      </c>
      <c r="B3" t="s">
        <v>45</v>
      </c>
      <c r="C3" t="s">
        <v>46</v>
      </c>
      <c r="D3" t="s">
        <v>47</v>
      </c>
    </row>
    <row r="4" spans="1:4" x14ac:dyDescent="0.3">
      <c r="A4" t="s">
        <v>16</v>
      </c>
      <c r="B4" t="s">
        <v>3</v>
      </c>
      <c r="C4">
        <v>1</v>
      </c>
      <c r="D4">
        <v>3503.28</v>
      </c>
    </row>
    <row r="5" spans="1:4" x14ac:dyDescent="0.3">
      <c r="A5" t="s">
        <v>18</v>
      </c>
      <c r="B5" t="s">
        <v>3</v>
      </c>
      <c r="C5">
        <v>1</v>
      </c>
      <c r="D5">
        <v>1308</v>
      </c>
    </row>
    <row r="6" spans="1:4" x14ac:dyDescent="0.3">
      <c r="A6" t="s">
        <v>17</v>
      </c>
      <c r="B6" t="s">
        <v>3</v>
      </c>
      <c r="C6">
        <v>1</v>
      </c>
      <c r="D6">
        <v>440</v>
      </c>
    </row>
    <row r="7" spans="1:4" x14ac:dyDescent="0.3">
      <c r="A7" t="s">
        <v>19</v>
      </c>
      <c r="B7" t="s">
        <v>3</v>
      </c>
      <c r="C7">
        <v>1</v>
      </c>
      <c r="D7">
        <v>864</v>
      </c>
    </row>
    <row r="8" spans="1:4" x14ac:dyDescent="0.3">
      <c r="A8" t="s">
        <v>27</v>
      </c>
      <c r="B8" t="s">
        <v>3</v>
      </c>
      <c r="C8">
        <v>1</v>
      </c>
      <c r="D8">
        <v>281</v>
      </c>
    </row>
    <row r="9" spans="1:4" x14ac:dyDescent="0.3">
      <c r="A9" t="s">
        <v>21</v>
      </c>
      <c r="B9" t="s">
        <v>3</v>
      </c>
      <c r="C9">
        <v>1</v>
      </c>
      <c r="D9">
        <v>1172</v>
      </c>
    </row>
    <row r="10" spans="1:4" x14ac:dyDescent="0.3">
      <c r="A10" t="s">
        <v>24</v>
      </c>
      <c r="B10" t="s">
        <v>3</v>
      </c>
      <c r="C10">
        <v>1</v>
      </c>
      <c r="D10">
        <v>5049.96</v>
      </c>
    </row>
    <row r="11" spans="1:4" x14ac:dyDescent="0.3">
      <c r="A11" t="s">
        <v>22</v>
      </c>
      <c r="B11" t="s">
        <v>3</v>
      </c>
      <c r="C11">
        <v>1</v>
      </c>
      <c r="D11">
        <v>9280.24</v>
      </c>
    </row>
    <row r="12" spans="1:4" x14ac:dyDescent="0.3">
      <c r="A12" t="s">
        <v>25</v>
      </c>
      <c r="B12" t="s">
        <v>3</v>
      </c>
      <c r="C12">
        <v>1</v>
      </c>
      <c r="D12">
        <v>2744</v>
      </c>
    </row>
    <row r="13" spans="1:4" x14ac:dyDescent="0.3">
      <c r="A13" t="s">
        <v>26</v>
      </c>
      <c r="B13" t="s">
        <v>3</v>
      </c>
      <c r="C13">
        <v>1</v>
      </c>
      <c r="D13">
        <v>699</v>
      </c>
    </row>
    <row r="14" spans="1:4" x14ac:dyDescent="0.3">
      <c r="A14" t="s">
        <v>28</v>
      </c>
      <c r="B14" t="s">
        <v>3</v>
      </c>
      <c r="C14">
        <v>1</v>
      </c>
      <c r="D14">
        <v>0</v>
      </c>
    </row>
    <row r="15" spans="1:4" x14ac:dyDescent="0.3">
      <c r="A15" t="s">
        <v>29</v>
      </c>
      <c r="B15" t="s">
        <v>3</v>
      </c>
      <c r="C15">
        <v>1</v>
      </c>
      <c r="D15">
        <v>292</v>
      </c>
    </row>
    <row r="16" spans="1:4" x14ac:dyDescent="0.3">
      <c r="A16" t="s">
        <v>30</v>
      </c>
      <c r="B16" t="s">
        <v>3</v>
      </c>
      <c r="C16">
        <v>1</v>
      </c>
      <c r="D16">
        <v>7256</v>
      </c>
    </row>
    <row r="17" spans="1:4" x14ac:dyDescent="0.3">
      <c r="A17" t="s">
        <v>31</v>
      </c>
      <c r="B17" t="s">
        <v>3</v>
      </c>
      <c r="C17">
        <v>1</v>
      </c>
      <c r="D17">
        <v>900</v>
      </c>
    </row>
    <row r="18" spans="1:4" x14ac:dyDescent="0.3">
      <c r="A18" t="s">
        <v>32</v>
      </c>
      <c r="B18" t="s">
        <v>3</v>
      </c>
      <c r="C18">
        <v>1</v>
      </c>
      <c r="D18">
        <v>0</v>
      </c>
    </row>
    <row r="19" spans="1:4" x14ac:dyDescent="0.3">
      <c r="A19" t="s">
        <v>33</v>
      </c>
      <c r="B19" t="s">
        <v>3</v>
      </c>
      <c r="C19">
        <v>1</v>
      </c>
      <c r="D19">
        <v>138.411</v>
      </c>
    </row>
    <row r="20" spans="1:4" x14ac:dyDescent="0.3">
      <c r="A20" t="s">
        <v>34</v>
      </c>
      <c r="B20" t="s">
        <v>3</v>
      </c>
      <c r="C20">
        <v>1</v>
      </c>
      <c r="D20">
        <v>351.35100000000011</v>
      </c>
    </row>
    <row r="21" spans="1:4" x14ac:dyDescent="0.3">
      <c r="A21" t="s">
        <v>35</v>
      </c>
      <c r="B21" t="s">
        <v>3</v>
      </c>
      <c r="C21">
        <v>1</v>
      </c>
      <c r="D21">
        <v>159.70500000000001</v>
      </c>
    </row>
    <row r="22" spans="1:4" x14ac:dyDescent="0.3">
      <c r="A22" t="s">
        <v>36</v>
      </c>
      <c r="B22" t="s">
        <v>3</v>
      </c>
      <c r="C22">
        <v>1</v>
      </c>
      <c r="D22">
        <v>191.64599999999999</v>
      </c>
    </row>
    <row r="23" spans="1:4" x14ac:dyDescent="0.3">
      <c r="A23" t="s">
        <v>37</v>
      </c>
      <c r="B23" t="s">
        <v>3</v>
      </c>
      <c r="C23">
        <v>1</v>
      </c>
      <c r="D23">
        <v>234.23400000000001</v>
      </c>
    </row>
    <row r="24" spans="1:4" x14ac:dyDescent="0.3">
      <c r="A24" t="s">
        <v>38</v>
      </c>
      <c r="B24" t="s">
        <v>3</v>
      </c>
      <c r="C24">
        <v>1</v>
      </c>
      <c r="D24">
        <v>1591.21</v>
      </c>
    </row>
    <row r="25" spans="1:4" x14ac:dyDescent="0.3">
      <c r="A25" t="s">
        <v>39</v>
      </c>
      <c r="B25" t="s">
        <v>3</v>
      </c>
      <c r="C25">
        <v>1</v>
      </c>
      <c r="D25">
        <v>2827.4</v>
      </c>
    </row>
    <row r="26" spans="1:4" x14ac:dyDescent="0.3">
      <c r="A26" t="s">
        <v>40</v>
      </c>
      <c r="B26" t="s">
        <v>3</v>
      </c>
      <c r="C26">
        <v>1</v>
      </c>
      <c r="D26">
        <v>0</v>
      </c>
    </row>
    <row r="27" spans="1:4" x14ac:dyDescent="0.3">
      <c r="A27" t="s">
        <v>41</v>
      </c>
      <c r="B27" t="s">
        <v>3</v>
      </c>
      <c r="C27">
        <v>1</v>
      </c>
      <c r="D27">
        <v>642</v>
      </c>
    </row>
    <row r="28" spans="1:4" x14ac:dyDescent="0.3">
      <c r="A28" t="s">
        <v>44</v>
      </c>
      <c r="B28" t="s">
        <v>3</v>
      </c>
      <c r="C28">
        <v>1</v>
      </c>
      <c r="D28">
        <v>1016</v>
      </c>
    </row>
    <row r="29" spans="1:4" x14ac:dyDescent="0.3">
      <c r="A29" t="s">
        <v>43</v>
      </c>
      <c r="B29" t="s">
        <v>3</v>
      </c>
      <c r="C29">
        <v>1</v>
      </c>
      <c r="D29">
        <v>180</v>
      </c>
    </row>
    <row r="30" spans="1:4" x14ac:dyDescent="0.3">
      <c r="A30" t="s">
        <v>23</v>
      </c>
      <c r="B30" t="s">
        <v>3</v>
      </c>
      <c r="C30">
        <v>1</v>
      </c>
      <c r="D30">
        <v>5695.4</v>
      </c>
    </row>
    <row r="31" spans="1:4" x14ac:dyDescent="0.3">
      <c r="A31" t="s">
        <v>42</v>
      </c>
      <c r="B31" t="s">
        <v>3</v>
      </c>
      <c r="C31">
        <v>1</v>
      </c>
      <c r="D31">
        <v>0</v>
      </c>
    </row>
    <row r="32" spans="1:4" x14ac:dyDescent="0.3">
      <c r="A32" t="s">
        <v>20</v>
      </c>
      <c r="B32" t="s">
        <v>3</v>
      </c>
      <c r="C32">
        <v>1</v>
      </c>
      <c r="D32">
        <v>6680.7</v>
      </c>
    </row>
    <row r="33" spans="1:4" x14ac:dyDescent="0.3">
      <c r="A33" t="s">
        <v>16</v>
      </c>
      <c r="B33" t="s">
        <v>3</v>
      </c>
      <c r="C33">
        <f>C4+1</f>
        <v>2</v>
      </c>
      <c r="D33">
        <v>3503.28</v>
      </c>
    </row>
    <row r="34" spans="1:4" x14ac:dyDescent="0.3">
      <c r="A34" t="s">
        <v>18</v>
      </c>
      <c r="B34" t="s">
        <v>3</v>
      </c>
      <c r="C34">
        <f t="shared" ref="C34:C97" si="0">C5+1</f>
        <v>2</v>
      </c>
      <c r="D34">
        <v>1308</v>
      </c>
    </row>
    <row r="35" spans="1:4" x14ac:dyDescent="0.3">
      <c r="A35" t="s">
        <v>17</v>
      </c>
      <c r="B35" t="s">
        <v>3</v>
      </c>
      <c r="C35">
        <f t="shared" si="0"/>
        <v>2</v>
      </c>
      <c r="D35">
        <v>440</v>
      </c>
    </row>
    <row r="36" spans="1:4" x14ac:dyDescent="0.3">
      <c r="A36" t="s">
        <v>19</v>
      </c>
      <c r="B36" t="s">
        <v>3</v>
      </c>
      <c r="C36">
        <f t="shared" si="0"/>
        <v>2</v>
      </c>
      <c r="D36">
        <v>864</v>
      </c>
    </row>
    <row r="37" spans="1:4" x14ac:dyDescent="0.3">
      <c r="A37" t="s">
        <v>27</v>
      </c>
      <c r="B37" t="s">
        <v>3</v>
      </c>
      <c r="C37">
        <f t="shared" si="0"/>
        <v>2</v>
      </c>
      <c r="D37">
        <v>281</v>
      </c>
    </row>
    <row r="38" spans="1:4" x14ac:dyDescent="0.3">
      <c r="A38" t="s">
        <v>21</v>
      </c>
      <c r="B38" t="s">
        <v>3</v>
      </c>
      <c r="C38">
        <f t="shared" si="0"/>
        <v>2</v>
      </c>
      <c r="D38">
        <v>1172</v>
      </c>
    </row>
    <row r="39" spans="1:4" x14ac:dyDescent="0.3">
      <c r="A39" t="s">
        <v>24</v>
      </c>
      <c r="B39" t="s">
        <v>3</v>
      </c>
      <c r="C39">
        <f t="shared" si="0"/>
        <v>2</v>
      </c>
      <c r="D39">
        <v>5049.96</v>
      </c>
    </row>
    <row r="40" spans="1:4" x14ac:dyDescent="0.3">
      <c r="A40" t="s">
        <v>22</v>
      </c>
      <c r="B40" t="s">
        <v>3</v>
      </c>
      <c r="C40">
        <f t="shared" si="0"/>
        <v>2</v>
      </c>
      <c r="D40">
        <v>9280.24</v>
      </c>
    </row>
    <row r="41" spans="1:4" x14ac:dyDescent="0.3">
      <c r="A41" t="s">
        <v>25</v>
      </c>
      <c r="B41" t="s">
        <v>3</v>
      </c>
      <c r="C41">
        <f t="shared" si="0"/>
        <v>2</v>
      </c>
      <c r="D41">
        <v>2744</v>
      </c>
    </row>
    <row r="42" spans="1:4" x14ac:dyDescent="0.3">
      <c r="A42" t="s">
        <v>26</v>
      </c>
      <c r="B42" t="s">
        <v>3</v>
      </c>
      <c r="C42">
        <f t="shared" si="0"/>
        <v>2</v>
      </c>
      <c r="D42">
        <v>699</v>
      </c>
    </row>
    <row r="43" spans="1:4" x14ac:dyDescent="0.3">
      <c r="A43" t="s">
        <v>28</v>
      </c>
      <c r="B43" t="s">
        <v>3</v>
      </c>
      <c r="C43">
        <f t="shared" si="0"/>
        <v>2</v>
      </c>
      <c r="D43">
        <v>0</v>
      </c>
    </row>
    <row r="44" spans="1:4" x14ac:dyDescent="0.3">
      <c r="A44" t="s">
        <v>29</v>
      </c>
      <c r="B44" t="s">
        <v>3</v>
      </c>
      <c r="C44">
        <f t="shared" si="0"/>
        <v>2</v>
      </c>
      <c r="D44">
        <v>292</v>
      </c>
    </row>
    <row r="45" spans="1:4" x14ac:dyDescent="0.3">
      <c r="A45" t="s">
        <v>30</v>
      </c>
      <c r="B45" t="s">
        <v>3</v>
      </c>
      <c r="C45">
        <f t="shared" si="0"/>
        <v>2</v>
      </c>
      <c r="D45">
        <v>7256</v>
      </c>
    </row>
    <row r="46" spans="1:4" x14ac:dyDescent="0.3">
      <c r="A46" t="s">
        <v>31</v>
      </c>
      <c r="B46" t="s">
        <v>3</v>
      </c>
      <c r="C46">
        <f t="shared" si="0"/>
        <v>2</v>
      </c>
      <c r="D46">
        <v>900</v>
      </c>
    </row>
    <row r="47" spans="1:4" x14ac:dyDescent="0.3">
      <c r="A47" t="s">
        <v>32</v>
      </c>
      <c r="B47" t="s">
        <v>3</v>
      </c>
      <c r="C47">
        <f t="shared" si="0"/>
        <v>2</v>
      </c>
      <c r="D47">
        <v>0</v>
      </c>
    </row>
    <row r="48" spans="1:4" x14ac:dyDescent="0.3">
      <c r="A48" t="s">
        <v>33</v>
      </c>
      <c r="B48" t="s">
        <v>3</v>
      </c>
      <c r="C48">
        <f t="shared" si="0"/>
        <v>2</v>
      </c>
      <c r="D48">
        <v>138.411</v>
      </c>
    </row>
    <row r="49" spans="1:4" x14ac:dyDescent="0.3">
      <c r="A49" t="s">
        <v>34</v>
      </c>
      <c r="B49" t="s">
        <v>3</v>
      </c>
      <c r="C49">
        <f t="shared" si="0"/>
        <v>2</v>
      </c>
      <c r="D49">
        <v>351.35100000000011</v>
      </c>
    </row>
    <row r="50" spans="1:4" x14ac:dyDescent="0.3">
      <c r="A50" t="s">
        <v>35</v>
      </c>
      <c r="B50" t="s">
        <v>3</v>
      </c>
      <c r="C50">
        <f t="shared" si="0"/>
        <v>2</v>
      </c>
      <c r="D50">
        <v>159.70500000000001</v>
      </c>
    </row>
    <row r="51" spans="1:4" x14ac:dyDescent="0.3">
      <c r="A51" t="s">
        <v>36</v>
      </c>
      <c r="B51" t="s">
        <v>3</v>
      </c>
      <c r="C51">
        <f t="shared" si="0"/>
        <v>2</v>
      </c>
      <c r="D51">
        <v>191.64599999999999</v>
      </c>
    </row>
    <row r="52" spans="1:4" x14ac:dyDescent="0.3">
      <c r="A52" t="s">
        <v>37</v>
      </c>
      <c r="B52" t="s">
        <v>3</v>
      </c>
      <c r="C52">
        <f t="shared" si="0"/>
        <v>2</v>
      </c>
      <c r="D52">
        <v>234.23400000000001</v>
      </c>
    </row>
    <row r="53" spans="1:4" x14ac:dyDescent="0.3">
      <c r="A53" t="s">
        <v>38</v>
      </c>
      <c r="B53" t="s">
        <v>3</v>
      </c>
      <c r="C53">
        <f t="shared" si="0"/>
        <v>2</v>
      </c>
      <c r="D53">
        <v>1591.21</v>
      </c>
    </row>
    <row r="54" spans="1:4" x14ac:dyDescent="0.3">
      <c r="A54" t="s">
        <v>39</v>
      </c>
      <c r="B54" t="s">
        <v>3</v>
      </c>
      <c r="C54">
        <f t="shared" si="0"/>
        <v>2</v>
      </c>
      <c r="D54">
        <v>2827.4</v>
      </c>
    </row>
    <row r="55" spans="1:4" x14ac:dyDescent="0.3">
      <c r="A55" t="s">
        <v>40</v>
      </c>
      <c r="B55" t="s">
        <v>3</v>
      </c>
      <c r="C55">
        <f t="shared" si="0"/>
        <v>2</v>
      </c>
      <c r="D55">
        <v>0</v>
      </c>
    </row>
    <row r="56" spans="1:4" x14ac:dyDescent="0.3">
      <c r="A56" t="s">
        <v>41</v>
      </c>
      <c r="B56" t="s">
        <v>3</v>
      </c>
      <c r="C56">
        <f t="shared" si="0"/>
        <v>2</v>
      </c>
      <c r="D56">
        <v>642</v>
      </c>
    </row>
    <row r="57" spans="1:4" x14ac:dyDescent="0.3">
      <c r="A57" t="s">
        <v>44</v>
      </c>
      <c r="B57" t="s">
        <v>3</v>
      </c>
      <c r="C57">
        <f t="shared" si="0"/>
        <v>2</v>
      </c>
      <c r="D57">
        <v>1016</v>
      </c>
    </row>
    <row r="58" spans="1:4" x14ac:dyDescent="0.3">
      <c r="A58" t="s">
        <v>43</v>
      </c>
      <c r="B58" t="s">
        <v>3</v>
      </c>
      <c r="C58">
        <f t="shared" si="0"/>
        <v>2</v>
      </c>
      <c r="D58">
        <v>180</v>
      </c>
    </row>
    <row r="59" spans="1:4" x14ac:dyDescent="0.3">
      <c r="A59" t="s">
        <v>23</v>
      </c>
      <c r="B59" t="s">
        <v>3</v>
      </c>
      <c r="C59">
        <f t="shared" si="0"/>
        <v>2</v>
      </c>
      <c r="D59">
        <v>5695.4</v>
      </c>
    </row>
    <row r="60" spans="1:4" x14ac:dyDescent="0.3">
      <c r="A60" t="s">
        <v>42</v>
      </c>
      <c r="B60" t="s">
        <v>3</v>
      </c>
      <c r="C60">
        <f t="shared" si="0"/>
        <v>2</v>
      </c>
      <c r="D60">
        <v>0</v>
      </c>
    </row>
    <row r="61" spans="1:4" x14ac:dyDescent="0.3">
      <c r="A61" t="s">
        <v>20</v>
      </c>
      <c r="B61" t="s">
        <v>3</v>
      </c>
      <c r="C61">
        <f t="shared" si="0"/>
        <v>2</v>
      </c>
      <c r="D61">
        <v>6680.7</v>
      </c>
    </row>
    <row r="62" spans="1:4" x14ac:dyDescent="0.3">
      <c r="A62" t="s">
        <v>16</v>
      </c>
      <c r="B62" t="s">
        <v>3</v>
      </c>
      <c r="C62">
        <f t="shared" si="0"/>
        <v>3</v>
      </c>
      <c r="D62">
        <v>3503.28</v>
      </c>
    </row>
    <row r="63" spans="1:4" x14ac:dyDescent="0.3">
      <c r="A63" t="s">
        <v>18</v>
      </c>
      <c r="B63" t="s">
        <v>3</v>
      </c>
      <c r="C63">
        <f t="shared" si="0"/>
        <v>3</v>
      </c>
      <c r="D63">
        <v>1308</v>
      </c>
    </row>
    <row r="64" spans="1:4" x14ac:dyDescent="0.3">
      <c r="A64" t="s">
        <v>17</v>
      </c>
      <c r="B64" t="s">
        <v>3</v>
      </c>
      <c r="C64">
        <f t="shared" si="0"/>
        <v>3</v>
      </c>
      <c r="D64">
        <v>440</v>
      </c>
    </row>
    <row r="65" spans="1:4" x14ac:dyDescent="0.3">
      <c r="A65" t="s">
        <v>19</v>
      </c>
      <c r="B65" t="s">
        <v>3</v>
      </c>
      <c r="C65">
        <f t="shared" si="0"/>
        <v>3</v>
      </c>
      <c r="D65">
        <v>864</v>
      </c>
    </row>
    <row r="66" spans="1:4" x14ac:dyDescent="0.3">
      <c r="A66" t="s">
        <v>27</v>
      </c>
      <c r="B66" t="s">
        <v>3</v>
      </c>
      <c r="C66">
        <f t="shared" si="0"/>
        <v>3</v>
      </c>
      <c r="D66">
        <v>281</v>
      </c>
    </row>
    <row r="67" spans="1:4" x14ac:dyDescent="0.3">
      <c r="A67" t="s">
        <v>21</v>
      </c>
      <c r="B67" t="s">
        <v>3</v>
      </c>
      <c r="C67">
        <f t="shared" si="0"/>
        <v>3</v>
      </c>
      <c r="D67">
        <v>1172</v>
      </c>
    </row>
    <row r="68" spans="1:4" x14ac:dyDescent="0.3">
      <c r="A68" t="s">
        <v>24</v>
      </c>
      <c r="B68" t="s">
        <v>3</v>
      </c>
      <c r="C68">
        <f t="shared" si="0"/>
        <v>3</v>
      </c>
      <c r="D68">
        <v>5049.96</v>
      </c>
    </row>
    <row r="69" spans="1:4" x14ac:dyDescent="0.3">
      <c r="A69" t="s">
        <v>22</v>
      </c>
      <c r="B69" t="s">
        <v>3</v>
      </c>
      <c r="C69">
        <f t="shared" si="0"/>
        <v>3</v>
      </c>
      <c r="D69">
        <v>9280.24</v>
      </c>
    </row>
    <row r="70" spans="1:4" x14ac:dyDescent="0.3">
      <c r="A70" t="s">
        <v>25</v>
      </c>
      <c r="B70" t="s">
        <v>3</v>
      </c>
      <c r="C70">
        <f t="shared" si="0"/>
        <v>3</v>
      </c>
      <c r="D70">
        <v>2744</v>
      </c>
    </row>
    <row r="71" spans="1:4" x14ac:dyDescent="0.3">
      <c r="A71" t="s">
        <v>26</v>
      </c>
      <c r="B71" t="s">
        <v>3</v>
      </c>
      <c r="C71">
        <f t="shared" si="0"/>
        <v>3</v>
      </c>
      <c r="D71">
        <v>699</v>
      </c>
    </row>
    <row r="72" spans="1:4" x14ac:dyDescent="0.3">
      <c r="A72" t="s">
        <v>28</v>
      </c>
      <c r="B72" t="s">
        <v>3</v>
      </c>
      <c r="C72">
        <f t="shared" si="0"/>
        <v>3</v>
      </c>
      <c r="D72">
        <v>0</v>
      </c>
    </row>
    <row r="73" spans="1:4" x14ac:dyDescent="0.3">
      <c r="A73" t="s">
        <v>29</v>
      </c>
      <c r="B73" t="s">
        <v>3</v>
      </c>
      <c r="C73">
        <f t="shared" si="0"/>
        <v>3</v>
      </c>
      <c r="D73">
        <v>292</v>
      </c>
    </row>
    <row r="74" spans="1:4" x14ac:dyDescent="0.3">
      <c r="A74" t="s">
        <v>30</v>
      </c>
      <c r="B74" t="s">
        <v>3</v>
      </c>
      <c r="C74">
        <f t="shared" si="0"/>
        <v>3</v>
      </c>
      <c r="D74">
        <v>7256</v>
      </c>
    </row>
    <row r="75" spans="1:4" x14ac:dyDescent="0.3">
      <c r="A75" t="s">
        <v>31</v>
      </c>
      <c r="B75" t="s">
        <v>3</v>
      </c>
      <c r="C75">
        <f t="shared" si="0"/>
        <v>3</v>
      </c>
      <c r="D75">
        <v>900</v>
      </c>
    </row>
    <row r="76" spans="1:4" x14ac:dyDescent="0.3">
      <c r="A76" t="s">
        <v>32</v>
      </c>
      <c r="B76" t="s">
        <v>3</v>
      </c>
      <c r="C76">
        <f t="shared" si="0"/>
        <v>3</v>
      </c>
      <c r="D76">
        <v>0</v>
      </c>
    </row>
    <row r="77" spans="1:4" x14ac:dyDescent="0.3">
      <c r="A77" t="s">
        <v>33</v>
      </c>
      <c r="B77" t="s">
        <v>3</v>
      </c>
      <c r="C77">
        <f t="shared" si="0"/>
        <v>3</v>
      </c>
      <c r="D77">
        <v>138.411</v>
      </c>
    </row>
    <row r="78" spans="1:4" x14ac:dyDescent="0.3">
      <c r="A78" t="s">
        <v>34</v>
      </c>
      <c r="B78" t="s">
        <v>3</v>
      </c>
      <c r="C78">
        <f t="shared" si="0"/>
        <v>3</v>
      </c>
      <c r="D78">
        <v>351.35100000000011</v>
      </c>
    </row>
    <row r="79" spans="1:4" x14ac:dyDescent="0.3">
      <c r="A79" t="s">
        <v>35</v>
      </c>
      <c r="B79" t="s">
        <v>3</v>
      </c>
      <c r="C79">
        <f t="shared" si="0"/>
        <v>3</v>
      </c>
      <c r="D79">
        <v>159.70500000000001</v>
      </c>
    </row>
    <row r="80" spans="1:4" x14ac:dyDescent="0.3">
      <c r="A80" t="s">
        <v>36</v>
      </c>
      <c r="B80" t="s">
        <v>3</v>
      </c>
      <c r="C80">
        <f t="shared" si="0"/>
        <v>3</v>
      </c>
      <c r="D80">
        <v>191.64599999999999</v>
      </c>
    </row>
    <row r="81" spans="1:4" x14ac:dyDescent="0.3">
      <c r="A81" t="s">
        <v>37</v>
      </c>
      <c r="B81" t="s">
        <v>3</v>
      </c>
      <c r="C81">
        <f t="shared" si="0"/>
        <v>3</v>
      </c>
      <c r="D81">
        <v>234.23400000000001</v>
      </c>
    </row>
    <row r="82" spans="1:4" x14ac:dyDescent="0.3">
      <c r="A82" t="s">
        <v>38</v>
      </c>
      <c r="B82" t="s">
        <v>3</v>
      </c>
      <c r="C82">
        <f t="shared" si="0"/>
        <v>3</v>
      </c>
      <c r="D82">
        <v>1591.21</v>
      </c>
    </row>
    <row r="83" spans="1:4" x14ac:dyDescent="0.3">
      <c r="A83" t="s">
        <v>39</v>
      </c>
      <c r="B83" t="s">
        <v>3</v>
      </c>
      <c r="C83">
        <f t="shared" si="0"/>
        <v>3</v>
      </c>
      <c r="D83">
        <v>2827.4</v>
      </c>
    </row>
    <row r="84" spans="1:4" x14ac:dyDescent="0.3">
      <c r="A84" t="s">
        <v>40</v>
      </c>
      <c r="B84" t="s">
        <v>3</v>
      </c>
      <c r="C84">
        <f t="shared" si="0"/>
        <v>3</v>
      </c>
      <c r="D84">
        <v>0</v>
      </c>
    </row>
    <row r="85" spans="1:4" x14ac:dyDescent="0.3">
      <c r="A85" t="s">
        <v>41</v>
      </c>
      <c r="B85" t="s">
        <v>3</v>
      </c>
      <c r="C85">
        <f t="shared" si="0"/>
        <v>3</v>
      </c>
      <c r="D85">
        <v>642</v>
      </c>
    </row>
    <row r="86" spans="1:4" x14ac:dyDescent="0.3">
      <c r="A86" t="s">
        <v>44</v>
      </c>
      <c r="B86" t="s">
        <v>3</v>
      </c>
      <c r="C86">
        <f t="shared" si="0"/>
        <v>3</v>
      </c>
      <c r="D86">
        <v>1016</v>
      </c>
    </row>
    <row r="87" spans="1:4" x14ac:dyDescent="0.3">
      <c r="A87" t="s">
        <v>43</v>
      </c>
      <c r="B87" t="s">
        <v>3</v>
      </c>
      <c r="C87">
        <f t="shared" si="0"/>
        <v>3</v>
      </c>
      <c r="D87">
        <v>180</v>
      </c>
    </row>
    <row r="88" spans="1:4" x14ac:dyDescent="0.3">
      <c r="A88" t="s">
        <v>23</v>
      </c>
      <c r="B88" t="s">
        <v>3</v>
      </c>
      <c r="C88">
        <f t="shared" si="0"/>
        <v>3</v>
      </c>
      <c r="D88">
        <v>5695.4</v>
      </c>
    </row>
    <row r="89" spans="1:4" x14ac:dyDescent="0.3">
      <c r="A89" t="s">
        <v>42</v>
      </c>
      <c r="B89" t="s">
        <v>3</v>
      </c>
      <c r="C89">
        <f t="shared" si="0"/>
        <v>3</v>
      </c>
      <c r="D89">
        <v>0</v>
      </c>
    </row>
    <row r="90" spans="1:4" x14ac:dyDescent="0.3">
      <c r="A90" t="s">
        <v>20</v>
      </c>
      <c r="B90" t="s">
        <v>3</v>
      </c>
      <c r="C90">
        <f t="shared" si="0"/>
        <v>3</v>
      </c>
      <c r="D90">
        <v>6680.7</v>
      </c>
    </row>
    <row r="91" spans="1:4" x14ac:dyDescent="0.3">
      <c r="A91" t="s">
        <v>16</v>
      </c>
      <c r="B91" t="s">
        <v>3</v>
      </c>
      <c r="C91">
        <f t="shared" si="0"/>
        <v>4</v>
      </c>
      <c r="D91">
        <v>3503.28</v>
      </c>
    </row>
    <row r="92" spans="1:4" x14ac:dyDescent="0.3">
      <c r="A92" t="s">
        <v>18</v>
      </c>
      <c r="B92" t="s">
        <v>3</v>
      </c>
      <c r="C92">
        <f t="shared" si="0"/>
        <v>4</v>
      </c>
      <c r="D92">
        <v>1308</v>
      </c>
    </row>
    <row r="93" spans="1:4" x14ac:dyDescent="0.3">
      <c r="A93" t="s">
        <v>17</v>
      </c>
      <c r="B93" t="s">
        <v>3</v>
      </c>
      <c r="C93">
        <f t="shared" si="0"/>
        <v>4</v>
      </c>
      <c r="D93">
        <v>440</v>
      </c>
    </row>
    <row r="94" spans="1:4" x14ac:dyDescent="0.3">
      <c r="A94" t="s">
        <v>19</v>
      </c>
      <c r="B94" t="s">
        <v>3</v>
      </c>
      <c r="C94">
        <f t="shared" si="0"/>
        <v>4</v>
      </c>
      <c r="D94">
        <v>864</v>
      </c>
    </row>
    <row r="95" spans="1:4" x14ac:dyDescent="0.3">
      <c r="A95" t="s">
        <v>27</v>
      </c>
      <c r="B95" t="s">
        <v>3</v>
      </c>
      <c r="C95">
        <f t="shared" si="0"/>
        <v>4</v>
      </c>
      <c r="D95">
        <v>281</v>
      </c>
    </row>
    <row r="96" spans="1:4" x14ac:dyDescent="0.3">
      <c r="A96" t="s">
        <v>21</v>
      </c>
      <c r="B96" t="s">
        <v>3</v>
      </c>
      <c r="C96">
        <f t="shared" si="0"/>
        <v>4</v>
      </c>
      <c r="D96">
        <v>1172</v>
      </c>
    </row>
    <row r="97" spans="1:4" x14ac:dyDescent="0.3">
      <c r="A97" t="s">
        <v>24</v>
      </c>
      <c r="B97" t="s">
        <v>3</v>
      </c>
      <c r="C97">
        <f t="shared" si="0"/>
        <v>4</v>
      </c>
      <c r="D97">
        <v>5049.96</v>
      </c>
    </row>
    <row r="98" spans="1:4" x14ac:dyDescent="0.3">
      <c r="A98" t="s">
        <v>22</v>
      </c>
      <c r="B98" t="s">
        <v>3</v>
      </c>
      <c r="C98">
        <f t="shared" ref="C98:C161" si="1">C69+1</f>
        <v>4</v>
      </c>
      <c r="D98">
        <v>9280.24</v>
      </c>
    </row>
    <row r="99" spans="1:4" x14ac:dyDescent="0.3">
      <c r="A99" t="s">
        <v>25</v>
      </c>
      <c r="B99" t="s">
        <v>3</v>
      </c>
      <c r="C99">
        <f t="shared" si="1"/>
        <v>4</v>
      </c>
      <c r="D99">
        <v>2744</v>
      </c>
    </row>
    <row r="100" spans="1:4" x14ac:dyDescent="0.3">
      <c r="A100" t="s">
        <v>26</v>
      </c>
      <c r="B100" t="s">
        <v>3</v>
      </c>
      <c r="C100">
        <f t="shared" si="1"/>
        <v>4</v>
      </c>
      <c r="D100">
        <v>699</v>
      </c>
    </row>
    <row r="101" spans="1:4" x14ac:dyDescent="0.3">
      <c r="A101" t="s">
        <v>28</v>
      </c>
      <c r="B101" t="s">
        <v>3</v>
      </c>
      <c r="C101">
        <f t="shared" si="1"/>
        <v>4</v>
      </c>
      <c r="D101">
        <v>0</v>
      </c>
    </row>
    <row r="102" spans="1:4" x14ac:dyDescent="0.3">
      <c r="A102" t="s">
        <v>29</v>
      </c>
      <c r="B102" t="s">
        <v>3</v>
      </c>
      <c r="C102">
        <f t="shared" si="1"/>
        <v>4</v>
      </c>
      <c r="D102">
        <v>292</v>
      </c>
    </row>
    <row r="103" spans="1:4" x14ac:dyDescent="0.3">
      <c r="A103" t="s">
        <v>30</v>
      </c>
      <c r="B103" t="s">
        <v>3</v>
      </c>
      <c r="C103">
        <f t="shared" si="1"/>
        <v>4</v>
      </c>
      <c r="D103">
        <v>7256</v>
      </c>
    </row>
    <row r="104" spans="1:4" x14ac:dyDescent="0.3">
      <c r="A104" t="s">
        <v>31</v>
      </c>
      <c r="B104" t="s">
        <v>3</v>
      </c>
      <c r="C104">
        <f t="shared" si="1"/>
        <v>4</v>
      </c>
      <c r="D104">
        <v>900</v>
      </c>
    </row>
    <row r="105" spans="1:4" x14ac:dyDescent="0.3">
      <c r="A105" t="s">
        <v>32</v>
      </c>
      <c r="B105" t="s">
        <v>3</v>
      </c>
      <c r="C105">
        <f t="shared" si="1"/>
        <v>4</v>
      </c>
      <c r="D105">
        <v>0</v>
      </c>
    </row>
    <row r="106" spans="1:4" x14ac:dyDescent="0.3">
      <c r="A106" t="s">
        <v>33</v>
      </c>
      <c r="B106" t="s">
        <v>3</v>
      </c>
      <c r="C106">
        <f t="shared" si="1"/>
        <v>4</v>
      </c>
      <c r="D106">
        <v>138.411</v>
      </c>
    </row>
    <row r="107" spans="1:4" x14ac:dyDescent="0.3">
      <c r="A107" t="s">
        <v>34</v>
      </c>
      <c r="B107" t="s">
        <v>3</v>
      </c>
      <c r="C107">
        <f t="shared" si="1"/>
        <v>4</v>
      </c>
      <c r="D107">
        <v>351.35100000000011</v>
      </c>
    </row>
    <row r="108" spans="1:4" x14ac:dyDescent="0.3">
      <c r="A108" t="s">
        <v>35</v>
      </c>
      <c r="B108" t="s">
        <v>3</v>
      </c>
      <c r="C108">
        <f t="shared" si="1"/>
        <v>4</v>
      </c>
      <c r="D108">
        <v>159.70500000000001</v>
      </c>
    </row>
    <row r="109" spans="1:4" x14ac:dyDescent="0.3">
      <c r="A109" t="s">
        <v>36</v>
      </c>
      <c r="B109" t="s">
        <v>3</v>
      </c>
      <c r="C109">
        <f t="shared" si="1"/>
        <v>4</v>
      </c>
      <c r="D109">
        <v>191.64599999999999</v>
      </c>
    </row>
    <row r="110" spans="1:4" x14ac:dyDescent="0.3">
      <c r="A110" t="s">
        <v>37</v>
      </c>
      <c r="B110" t="s">
        <v>3</v>
      </c>
      <c r="C110">
        <f t="shared" si="1"/>
        <v>4</v>
      </c>
      <c r="D110">
        <v>234.23400000000001</v>
      </c>
    </row>
    <row r="111" spans="1:4" x14ac:dyDescent="0.3">
      <c r="A111" t="s">
        <v>38</v>
      </c>
      <c r="B111" t="s">
        <v>3</v>
      </c>
      <c r="C111">
        <f t="shared" si="1"/>
        <v>4</v>
      </c>
      <c r="D111">
        <v>1591.21</v>
      </c>
    </row>
    <row r="112" spans="1:4" x14ac:dyDescent="0.3">
      <c r="A112" t="s">
        <v>39</v>
      </c>
      <c r="B112" t="s">
        <v>3</v>
      </c>
      <c r="C112">
        <f t="shared" si="1"/>
        <v>4</v>
      </c>
      <c r="D112">
        <v>2827.4</v>
      </c>
    </row>
    <row r="113" spans="1:4" x14ac:dyDescent="0.3">
      <c r="A113" t="s">
        <v>40</v>
      </c>
      <c r="B113" t="s">
        <v>3</v>
      </c>
      <c r="C113">
        <f t="shared" si="1"/>
        <v>4</v>
      </c>
      <c r="D113">
        <v>0</v>
      </c>
    </row>
    <row r="114" spans="1:4" x14ac:dyDescent="0.3">
      <c r="A114" t="s">
        <v>41</v>
      </c>
      <c r="B114" t="s">
        <v>3</v>
      </c>
      <c r="C114">
        <f t="shared" si="1"/>
        <v>4</v>
      </c>
      <c r="D114">
        <v>642</v>
      </c>
    </row>
    <row r="115" spans="1:4" x14ac:dyDescent="0.3">
      <c r="A115" t="s">
        <v>44</v>
      </c>
      <c r="B115" t="s">
        <v>3</v>
      </c>
      <c r="C115">
        <f t="shared" si="1"/>
        <v>4</v>
      </c>
      <c r="D115">
        <v>1016</v>
      </c>
    </row>
    <row r="116" spans="1:4" x14ac:dyDescent="0.3">
      <c r="A116" t="s">
        <v>43</v>
      </c>
      <c r="B116" t="s">
        <v>3</v>
      </c>
      <c r="C116">
        <f t="shared" si="1"/>
        <v>4</v>
      </c>
      <c r="D116">
        <v>180</v>
      </c>
    </row>
    <row r="117" spans="1:4" x14ac:dyDescent="0.3">
      <c r="A117" t="s">
        <v>23</v>
      </c>
      <c r="B117" t="s">
        <v>3</v>
      </c>
      <c r="C117">
        <f t="shared" si="1"/>
        <v>4</v>
      </c>
      <c r="D117">
        <v>5695.4</v>
      </c>
    </row>
    <row r="118" spans="1:4" x14ac:dyDescent="0.3">
      <c r="A118" t="s">
        <v>42</v>
      </c>
      <c r="B118" t="s">
        <v>3</v>
      </c>
      <c r="C118">
        <f t="shared" si="1"/>
        <v>4</v>
      </c>
      <c r="D118">
        <v>0</v>
      </c>
    </row>
    <row r="119" spans="1:4" x14ac:dyDescent="0.3">
      <c r="A119" t="s">
        <v>20</v>
      </c>
      <c r="B119" t="s">
        <v>3</v>
      </c>
      <c r="C119">
        <f t="shared" si="1"/>
        <v>4</v>
      </c>
      <c r="D119">
        <v>6680.7</v>
      </c>
    </row>
    <row r="120" spans="1:4" x14ac:dyDescent="0.3">
      <c r="A120" t="s">
        <v>16</v>
      </c>
      <c r="B120" t="s">
        <v>3</v>
      </c>
      <c r="C120">
        <f t="shared" si="1"/>
        <v>5</v>
      </c>
      <c r="D120">
        <v>3503.28</v>
      </c>
    </row>
    <row r="121" spans="1:4" x14ac:dyDescent="0.3">
      <c r="A121" t="s">
        <v>18</v>
      </c>
      <c r="B121" t="s">
        <v>3</v>
      </c>
      <c r="C121">
        <f t="shared" si="1"/>
        <v>5</v>
      </c>
      <c r="D121">
        <v>1308</v>
      </c>
    </row>
    <row r="122" spans="1:4" x14ac:dyDescent="0.3">
      <c r="A122" t="s">
        <v>17</v>
      </c>
      <c r="B122" t="s">
        <v>3</v>
      </c>
      <c r="C122">
        <f t="shared" si="1"/>
        <v>5</v>
      </c>
      <c r="D122">
        <v>440</v>
      </c>
    </row>
    <row r="123" spans="1:4" x14ac:dyDescent="0.3">
      <c r="A123" t="s">
        <v>19</v>
      </c>
      <c r="B123" t="s">
        <v>3</v>
      </c>
      <c r="C123">
        <f t="shared" si="1"/>
        <v>5</v>
      </c>
      <c r="D123">
        <v>864</v>
      </c>
    </row>
    <row r="124" spans="1:4" x14ac:dyDescent="0.3">
      <c r="A124" t="s">
        <v>27</v>
      </c>
      <c r="B124" t="s">
        <v>3</v>
      </c>
      <c r="C124">
        <f t="shared" si="1"/>
        <v>5</v>
      </c>
      <c r="D124">
        <v>281</v>
      </c>
    </row>
    <row r="125" spans="1:4" x14ac:dyDescent="0.3">
      <c r="A125" t="s">
        <v>21</v>
      </c>
      <c r="B125" t="s">
        <v>3</v>
      </c>
      <c r="C125">
        <f t="shared" si="1"/>
        <v>5</v>
      </c>
      <c r="D125">
        <v>1172</v>
      </c>
    </row>
    <row r="126" spans="1:4" x14ac:dyDescent="0.3">
      <c r="A126" t="s">
        <v>24</v>
      </c>
      <c r="B126" t="s">
        <v>3</v>
      </c>
      <c r="C126">
        <f t="shared" si="1"/>
        <v>5</v>
      </c>
      <c r="D126">
        <v>5049.96</v>
      </c>
    </row>
    <row r="127" spans="1:4" x14ac:dyDescent="0.3">
      <c r="A127" t="s">
        <v>22</v>
      </c>
      <c r="B127" t="s">
        <v>3</v>
      </c>
      <c r="C127">
        <f t="shared" si="1"/>
        <v>5</v>
      </c>
      <c r="D127">
        <v>9280.24</v>
      </c>
    </row>
    <row r="128" spans="1:4" x14ac:dyDescent="0.3">
      <c r="A128" t="s">
        <v>25</v>
      </c>
      <c r="B128" t="s">
        <v>3</v>
      </c>
      <c r="C128">
        <f t="shared" si="1"/>
        <v>5</v>
      </c>
      <c r="D128">
        <v>2744</v>
      </c>
    </row>
    <row r="129" spans="1:4" x14ac:dyDescent="0.3">
      <c r="A129" t="s">
        <v>26</v>
      </c>
      <c r="B129" t="s">
        <v>3</v>
      </c>
      <c r="C129">
        <f t="shared" si="1"/>
        <v>5</v>
      </c>
      <c r="D129">
        <v>699</v>
      </c>
    </row>
    <row r="130" spans="1:4" x14ac:dyDescent="0.3">
      <c r="A130" t="s">
        <v>28</v>
      </c>
      <c r="B130" t="s">
        <v>3</v>
      </c>
      <c r="C130">
        <f t="shared" si="1"/>
        <v>5</v>
      </c>
      <c r="D130">
        <v>0</v>
      </c>
    </row>
    <row r="131" spans="1:4" x14ac:dyDescent="0.3">
      <c r="A131" t="s">
        <v>29</v>
      </c>
      <c r="B131" t="s">
        <v>3</v>
      </c>
      <c r="C131">
        <f t="shared" si="1"/>
        <v>5</v>
      </c>
      <c r="D131">
        <v>292</v>
      </c>
    </row>
    <row r="132" spans="1:4" x14ac:dyDescent="0.3">
      <c r="A132" t="s">
        <v>30</v>
      </c>
      <c r="B132" t="s">
        <v>3</v>
      </c>
      <c r="C132">
        <f t="shared" si="1"/>
        <v>5</v>
      </c>
      <c r="D132">
        <v>7256</v>
      </c>
    </row>
    <row r="133" spans="1:4" x14ac:dyDescent="0.3">
      <c r="A133" t="s">
        <v>31</v>
      </c>
      <c r="B133" t="s">
        <v>3</v>
      </c>
      <c r="C133">
        <f t="shared" si="1"/>
        <v>5</v>
      </c>
      <c r="D133">
        <v>900</v>
      </c>
    </row>
    <row r="134" spans="1:4" x14ac:dyDescent="0.3">
      <c r="A134" t="s">
        <v>32</v>
      </c>
      <c r="B134" t="s">
        <v>3</v>
      </c>
      <c r="C134">
        <f t="shared" si="1"/>
        <v>5</v>
      </c>
      <c r="D134">
        <v>0</v>
      </c>
    </row>
    <row r="135" spans="1:4" x14ac:dyDescent="0.3">
      <c r="A135" t="s">
        <v>33</v>
      </c>
      <c r="B135" t="s">
        <v>3</v>
      </c>
      <c r="C135">
        <f t="shared" si="1"/>
        <v>5</v>
      </c>
      <c r="D135">
        <v>138.411</v>
      </c>
    </row>
    <row r="136" spans="1:4" x14ac:dyDescent="0.3">
      <c r="A136" t="s">
        <v>34</v>
      </c>
      <c r="B136" t="s">
        <v>3</v>
      </c>
      <c r="C136">
        <f t="shared" si="1"/>
        <v>5</v>
      </c>
      <c r="D136">
        <v>351.35100000000011</v>
      </c>
    </row>
    <row r="137" spans="1:4" x14ac:dyDescent="0.3">
      <c r="A137" t="s">
        <v>35</v>
      </c>
      <c r="B137" t="s">
        <v>3</v>
      </c>
      <c r="C137">
        <f t="shared" si="1"/>
        <v>5</v>
      </c>
      <c r="D137">
        <v>159.70500000000001</v>
      </c>
    </row>
    <row r="138" spans="1:4" x14ac:dyDescent="0.3">
      <c r="A138" t="s">
        <v>36</v>
      </c>
      <c r="B138" t="s">
        <v>3</v>
      </c>
      <c r="C138">
        <f t="shared" si="1"/>
        <v>5</v>
      </c>
      <c r="D138">
        <v>191.64599999999999</v>
      </c>
    </row>
    <row r="139" spans="1:4" x14ac:dyDescent="0.3">
      <c r="A139" t="s">
        <v>37</v>
      </c>
      <c r="B139" t="s">
        <v>3</v>
      </c>
      <c r="C139">
        <f t="shared" si="1"/>
        <v>5</v>
      </c>
      <c r="D139">
        <v>234.23400000000001</v>
      </c>
    </row>
    <row r="140" spans="1:4" x14ac:dyDescent="0.3">
      <c r="A140" t="s">
        <v>38</v>
      </c>
      <c r="B140" t="s">
        <v>3</v>
      </c>
      <c r="C140">
        <f t="shared" si="1"/>
        <v>5</v>
      </c>
      <c r="D140">
        <v>1591.21</v>
      </c>
    </row>
    <row r="141" spans="1:4" x14ac:dyDescent="0.3">
      <c r="A141" t="s">
        <v>39</v>
      </c>
      <c r="B141" t="s">
        <v>3</v>
      </c>
      <c r="C141">
        <f t="shared" si="1"/>
        <v>5</v>
      </c>
      <c r="D141">
        <v>2827.4</v>
      </c>
    </row>
    <row r="142" spans="1:4" x14ac:dyDescent="0.3">
      <c r="A142" t="s">
        <v>40</v>
      </c>
      <c r="B142" t="s">
        <v>3</v>
      </c>
      <c r="C142">
        <f t="shared" si="1"/>
        <v>5</v>
      </c>
      <c r="D142">
        <v>0</v>
      </c>
    </row>
    <row r="143" spans="1:4" x14ac:dyDescent="0.3">
      <c r="A143" t="s">
        <v>41</v>
      </c>
      <c r="B143" t="s">
        <v>3</v>
      </c>
      <c r="C143">
        <f t="shared" si="1"/>
        <v>5</v>
      </c>
      <c r="D143">
        <v>642</v>
      </c>
    </row>
    <row r="144" spans="1:4" x14ac:dyDescent="0.3">
      <c r="A144" t="s">
        <v>44</v>
      </c>
      <c r="B144" t="s">
        <v>3</v>
      </c>
      <c r="C144">
        <f t="shared" si="1"/>
        <v>5</v>
      </c>
      <c r="D144">
        <v>1016</v>
      </c>
    </row>
    <row r="145" spans="1:4" x14ac:dyDescent="0.3">
      <c r="A145" t="s">
        <v>43</v>
      </c>
      <c r="B145" t="s">
        <v>3</v>
      </c>
      <c r="C145">
        <f t="shared" si="1"/>
        <v>5</v>
      </c>
      <c r="D145">
        <v>180</v>
      </c>
    </row>
    <row r="146" spans="1:4" x14ac:dyDescent="0.3">
      <c r="A146" t="s">
        <v>23</v>
      </c>
      <c r="B146" t="s">
        <v>3</v>
      </c>
      <c r="C146">
        <f t="shared" si="1"/>
        <v>5</v>
      </c>
      <c r="D146">
        <v>5695.4</v>
      </c>
    </row>
    <row r="147" spans="1:4" x14ac:dyDescent="0.3">
      <c r="A147" t="s">
        <v>42</v>
      </c>
      <c r="B147" t="s">
        <v>3</v>
      </c>
      <c r="C147">
        <f t="shared" si="1"/>
        <v>5</v>
      </c>
      <c r="D147">
        <v>0</v>
      </c>
    </row>
    <row r="148" spans="1:4" x14ac:dyDescent="0.3">
      <c r="A148" t="s">
        <v>20</v>
      </c>
      <c r="B148" t="s">
        <v>3</v>
      </c>
      <c r="C148">
        <f t="shared" si="1"/>
        <v>5</v>
      </c>
      <c r="D148">
        <v>6680.7</v>
      </c>
    </row>
    <row r="149" spans="1:4" x14ac:dyDescent="0.3">
      <c r="A149" t="s">
        <v>16</v>
      </c>
      <c r="B149" t="s">
        <v>3</v>
      </c>
      <c r="C149">
        <f t="shared" si="1"/>
        <v>6</v>
      </c>
      <c r="D149">
        <v>3503.28</v>
      </c>
    </row>
    <row r="150" spans="1:4" x14ac:dyDescent="0.3">
      <c r="A150" t="s">
        <v>18</v>
      </c>
      <c r="B150" t="s">
        <v>3</v>
      </c>
      <c r="C150">
        <f t="shared" si="1"/>
        <v>6</v>
      </c>
      <c r="D150">
        <v>1308</v>
      </c>
    </row>
    <row r="151" spans="1:4" x14ac:dyDescent="0.3">
      <c r="A151" t="s">
        <v>17</v>
      </c>
      <c r="B151" t="s">
        <v>3</v>
      </c>
      <c r="C151">
        <f t="shared" si="1"/>
        <v>6</v>
      </c>
      <c r="D151">
        <v>440</v>
      </c>
    </row>
    <row r="152" spans="1:4" x14ac:dyDescent="0.3">
      <c r="A152" t="s">
        <v>19</v>
      </c>
      <c r="B152" t="s">
        <v>3</v>
      </c>
      <c r="C152">
        <f t="shared" si="1"/>
        <v>6</v>
      </c>
      <c r="D152">
        <v>864</v>
      </c>
    </row>
    <row r="153" spans="1:4" x14ac:dyDescent="0.3">
      <c r="A153" t="s">
        <v>27</v>
      </c>
      <c r="B153" t="s">
        <v>3</v>
      </c>
      <c r="C153">
        <f t="shared" si="1"/>
        <v>6</v>
      </c>
      <c r="D153">
        <v>281</v>
      </c>
    </row>
    <row r="154" spans="1:4" x14ac:dyDescent="0.3">
      <c r="A154" t="s">
        <v>21</v>
      </c>
      <c r="B154" t="s">
        <v>3</v>
      </c>
      <c r="C154">
        <f t="shared" si="1"/>
        <v>6</v>
      </c>
      <c r="D154">
        <v>1172</v>
      </c>
    </row>
    <row r="155" spans="1:4" x14ac:dyDescent="0.3">
      <c r="A155" t="s">
        <v>24</v>
      </c>
      <c r="B155" t="s">
        <v>3</v>
      </c>
      <c r="C155">
        <f t="shared" si="1"/>
        <v>6</v>
      </c>
      <c r="D155">
        <v>5049.96</v>
      </c>
    </row>
    <row r="156" spans="1:4" x14ac:dyDescent="0.3">
      <c r="A156" t="s">
        <v>22</v>
      </c>
      <c r="B156" t="s">
        <v>3</v>
      </c>
      <c r="C156">
        <f t="shared" si="1"/>
        <v>6</v>
      </c>
      <c r="D156">
        <v>9280.24</v>
      </c>
    </row>
    <row r="157" spans="1:4" x14ac:dyDescent="0.3">
      <c r="A157" t="s">
        <v>25</v>
      </c>
      <c r="B157" t="s">
        <v>3</v>
      </c>
      <c r="C157">
        <f t="shared" si="1"/>
        <v>6</v>
      </c>
      <c r="D157">
        <v>2744</v>
      </c>
    </row>
    <row r="158" spans="1:4" x14ac:dyDescent="0.3">
      <c r="A158" t="s">
        <v>26</v>
      </c>
      <c r="B158" t="s">
        <v>3</v>
      </c>
      <c r="C158">
        <f t="shared" si="1"/>
        <v>6</v>
      </c>
      <c r="D158">
        <v>699</v>
      </c>
    </row>
    <row r="159" spans="1:4" x14ac:dyDescent="0.3">
      <c r="A159" t="s">
        <v>28</v>
      </c>
      <c r="B159" t="s">
        <v>3</v>
      </c>
      <c r="C159">
        <f t="shared" si="1"/>
        <v>6</v>
      </c>
      <c r="D159">
        <v>0</v>
      </c>
    </row>
    <row r="160" spans="1:4" x14ac:dyDescent="0.3">
      <c r="A160" t="s">
        <v>29</v>
      </c>
      <c r="B160" t="s">
        <v>3</v>
      </c>
      <c r="C160">
        <f t="shared" si="1"/>
        <v>6</v>
      </c>
      <c r="D160">
        <v>292</v>
      </c>
    </row>
    <row r="161" spans="1:4" x14ac:dyDescent="0.3">
      <c r="A161" t="s">
        <v>30</v>
      </c>
      <c r="B161" t="s">
        <v>3</v>
      </c>
      <c r="C161">
        <f t="shared" si="1"/>
        <v>6</v>
      </c>
      <c r="D161">
        <v>7256</v>
      </c>
    </row>
    <row r="162" spans="1:4" x14ac:dyDescent="0.3">
      <c r="A162" t="s">
        <v>31</v>
      </c>
      <c r="B162" t="s">
        <v>3</v>
      </c>
      <c r="C162">
        <f t="shared" ref="C162:C206" si="2">C133+1</f>
        <v>6</v>
      </c>
      <c r="D162">
        <v>900</v>
      </c>
    </row>
    <row r="163" spans="1:4" x14ac:dyDescent="0.3">
      <c r="A163" t="s">
        <v>32</v>
      </c>
      <c r="B163" t="s">
        <v>3</v>
      </c>
      <c r="C163">
        <f t="shared" si="2"/>
        <v>6</v>
      </c>
      <c r="D163">
        <v>0</v>
      </c>
    </row>
    <row r="164" spans="1:4" x14ac:dyDescent="0.3">
      <c r="A164" t="s">
        <v>33</v>
      </c>
      <c r="B164" t="s">
        <v>3</v>
      </c>
      <c r="C164">
        <f t="shared" si="2"/>
        <v>6</v>
      </c>
      <c r="D164">
        <v>138.411</v>
      </c>
    </row>
    <row r="165" spans="1:4" x14ac:dyDescent="0.3">
      <c r="A165" t="s">
        <v>34</v>
      </c>
      <c r="B165" t="s">
        <v>3</v>
      </c>
      <c r="C165">
        <f t="shared" si="2"/>
        <v>6</v>
      </c>
      <c r="D165">
        <v>351.35100000000011</v>
      </c>
    </row>
    <row r="166" spans="1:4" x14ac:dyDescent="0.3">
      <c r="A166" t="s">
        <v>35</v>
      </c>
      <c r="B166" t="s">
        <v>3</v>
      </c>
      <c r="C166">
        <f t="shared" si="2"/>
        <v>6</v>
      </c>
      <c r="D166">
        <v>159.70500000000001</v>
      </c>
    </row>
    <row r="167" spans="1:4" x14ac:dyDescent="0.3">
      <c r="A167" t="s">
        <v>36</v>
      </c>
      <c r="B167" t="s">
        <v>3</v>
      </c>
      <c r="C167">
        <f t="shared" si="2"/>
        <v>6</v>
      </c>
      <c r="D167">
        <v>191.64599999999999</v>
      </c>
    </row>
    <row r="168" spans="1:4" x14ac:dyDescent="0.3">
      <c r="A168" t="s">
        <v>37</v>
      </c>
      <c r="B168" t="s">
        <v>3</v>
      </c>
      <c r="C168">
        <f t="shared" si="2"/>
        <v>6</v>
      </c>
      <c r="D168">
        <v>234.23400000000001</v>
      </c>
    </row>
    <row r="169" spans="1:4" x14ac:dyDescent="0.3">
      <c r="A169" t="s">
        <v>38</v>
      </c>
      <c r="B169" t="s">
        <v>3</v>
      </c>
      <c r="C169">
        <f t="shared" si="2"/>
        <v>6</v>
      </c>
      <c r="D169">
        <v>1591.21</v>
      </c>
    </row>
    <row r="170" spans="1:4" x14ac:dyDescent="0.3">
      <c r="A170" t="s">
        <v>39</v>
      </c>
      <c r="B170" t="s">
        <v>3</v>
      </c>
      <c r="C170">
        <f t="shared" si="2"/>
        <v>6</v>
      </c>
      <c r="D170">
        <v>2827.4</v>
      </c>
    </row>
    <row r="171" spans="1:4" x14ac:dyDescent="0.3">
      <c r="A171" t="s">
        <v>40</v>
      </c>
      <c r="B171" t="s">
        <v>3</v>
      </c>
      <c r="C171">
        <f t="shared" si="2"/>
        <v>6</v>
      </c>
      <c r="D171">
        <v>0</v>
      </c>
    </row>
    <row r="172" spans="1:4" x14ac:dyDescent="0.3">
      <c r="A172" t="s">
        <v>41</v>
      </c>
      <c r="B172" t="s">
        <v>3</v>
      </c>
      <c r="C172">
        <f t="shared" si="2"/>
        <v>6</v>
      </c>
      <c r="D172">
        <v>642</v>
      </c>
    </row>
    <row r="173" spans="1:4" x14ac:dyDescent="0.3">
      <c r="A173" t="s">
        <v>44</v>
      </c>
      <c r="B173" t="s">
        <v>3</v>
      </c>
      <c r="C173">
        <f t="shared" si="2"/>
        <v>6</v>
      </c>
      <c r="D173">
        <v>1016</v>
      </c>
    </row>
    <row r="174" spans="1:4" x14ac:dyDescent="0.3">
      <c r="A174" t="s">
        <v>43</v>
      </c>
      <c r="B174" t="s">
        <v>3</v>
      </c>
      <c r="C174">
        <f t="shared" si="2"/>
        <v>6</v>
      </c>
      <c r="D174">
        <v>180</v>
      </c>
    </row>
    <row r="175" spans="1:4" x14ac:dyDescent="0.3">
      <c r="A175" t="s">
        <v>23</v>
      </c>
      <c r="B175" t="s">
        <v>3</v>
      </c>
      <c r="C175">
        <f t="shared" si="2"/>
        <v>6</v>
      </c>
      <c r="D175">
        <v>5695.4</v>
      </c>
    </row>
    <row r="176" spans="1:4" x14ac:dyDescent="0.3">
      <c r="A176" t="s">
        <v>42</v>
      </c>
      <c r="B176" t="s">
        <v>3</v>
      </c>
      <c r="C176">
        <f t="shared" si="2"/>
        <v>6</v>
      </c>
      <c r="D176">
        <v>0</v>
      </c>
    </row>
    <row r="177" spans="1:4" x14ac:dyDescent="0.3">
      <c r="A177" t="s">
        <v>20</v>
      </c>
      <c r="B177" t="s">
        <v>3</v>
      </c>
      <c r="C177">
        <f t="shared" si="2"/>
        <v>6</v>
      </c>
      <c r="D177">
        <v>6680.7</v>
      </c>
    </row>
    <row r="178" spans="1:4" x14ac:dyDescent="0.3">
      <c r="A178" t="s">
        <v>16</v>
      </c>
      <c r="B178" t="s">
        <v>3</v>
      </c>
      <c r="C178">
        <f t="shared" si="2"/>
        <v>7</v>
      </c>
      <c r="D178">
        <v>3503.28</v>
      </c>
    </row>
    <row r="179" spans="1:4" x14ac:dyDescent="0.3">
      <c r="A179" t="s">
        <v>18</v>
      </c>
      <c r="B179" t="s">
        <v>3</v>
      </c>
      <c r="C179">
        <f t="shared" si="2"/>
        <v>7</v>
      </c>
      <c r="D179">
        <v>1308</v>
      </c>
    </row>
    <row r="180" spans="1:4" x14ac:dyDescent="0.3">
      <c r="A180" t="s">
        <v>17</v>
      </c>
      <c r="B180" t="s">
        <v>3</v>
      </c>
      <c r="C180">
        <f t="shared" si="2"/>
        <v>7</v>
      </c>
      <c r="D180">
        <v>440</v>
      </c>
    </row>
    <row r="181" spans="1:4" x14ac:dyDescent="0.3">
      <c r="A181" t="s">
        <v>19</v>
      </c>
      <c r="B181" t="s">
        <v>3</v>
      </c>
      <c r="C181">
        <f t="shared" si="2"/>
        <v>7</v>
      </c>
      <c r="D181">
        <v>864</v>
      </c>
    </row>
    <row r="182" spans="1:4" x14ac:dyDescent="0.3">
      <c r="A182" t="s">
        <v>27</v>
      </c>
      <c r="B182" t="s">
        <v>3</v>
      </c>
      <c r="C182">
        <f t="shared" si="2"/>
        <v>7</v>
      </c>
      <c r="D182">
        <v>281</v>
      </c>
    </row>
    <row r="183" spans="1:4" x14ac:dyDescent="0.3">
      <c r="A183" t="s">
        <v>21</v>
      </c>
      <c r="B183" t="s">
        <v>3</v>
      </c>
      <c r="C183">
        <f t="shared" si="2"/>
        <v>7</v>
      </c>
      <c r="D183">
        <v>1172</v>
      </c>
    </row>
    <row r="184" spans="1:4" x14ac:dyDescent="0.3">
      <c r="A184" t="s">
        <v>24</v>
      </c>
      <c r="B184" t="s">
        <v>3</v>
      </c>
      <c r="C184">
        <f t="shared" si="2"/>
        <v>7</v>
      </c>
      <c r="D184">
        <v>5049.96</v>
      </c>
    </row>
    <row r="185" spans="1:4" x14ac:dyDescent="0.3">
      <c r="A185" t="s">
        <v>22</v>
      </c>
      <c r="B185" t="s">
        <v>3</v>
      </c>
      <c r="C185">
        <f t="shared" si="2"/>
        <v>7</v>
      </c>
      <c r="D185">
        <v>9280.24</v>
      </c>
    </row>
    <row r="186" spans="1:4" x14ac:dyDescent="0.3">
      <c r="A186" t="s">
        <v>25</v>
      </c>
      <c r="B186" t="s">
        <v>3</v>
      </c>
      <c r="C186">
        <f t="shared" si="2"/>
        <v>7</v>
      </c>
      <c r="D186">
        <v>2744</v>
      </c>
    </row>
    <row r="187" spans="1:4" x14ac:dyDescent="0.3">
      <c r="A187" t="s">
        <v>26</v>
      </c>
      <c r="B187" t="s">
        <v>3</v>
      </c>
      <c r="C187">
        <f t="shared" si="2"/>
        <v>7</v>
      </c>
      <c r="D187">
        <v>699</v>
      </c>
    </row>
    <row r="188" spans="1:4" x14ac:dyDescent="0.3">
      <c r="A188" t="s">
        <v>28</v>
      </c>
      <c r="B188" t="s">
        <v>3</v>
      </c>
      <c r="C188">
        <f t="shared" si="2"/>
        <v>7</v>
      </c>
      <c r="D188">
        <v>0</v>
      </c>
    </row>
    <row r="189" spans="1:4" x14ac:dyDescent="0.3">
      <c r="A189" t="s">
        <v>29</v>
      </c>
      <c r="B189" t="s">
        <v>3</v>
      </c>
      <c r="C189">
        <f t="shared" si="2"/>
        <v>7</v>
      </c>
      <c r="D189">
        <v>292</v>
      </c>
    </row>
    <row r="190" spans="1:4" x14ac:dyDescent="0.3">
      <c r="A190" t="s">
        <v>30</v>
      </c>
      <c r="B190" t="s">
        <v>3</v>
      </c>
      <c r="C190">
        <f t="shared" si="2"/>
        <v>7</v>
      </c>
      <c r="D190">
        <v>7256</v>
      </c>
    </row>
    <row r="191" spans="1:4" x14ac:dyDescent="0.3">
      <c r="A191" t="s">
        <v>31</v>
      </c>
      <c r="B191" t="s">
        <v>3</v>
      </c>
      <c r="C191">
        <f t="shared" si="2"/>
        <v>7</v>
      </c>
      <c r="D191">
        <v>900</v>
      </c>
    </row>
    <row r="192" spans="1:4" x14ac:dyDescent="0.3">
      <c r="A192" t="s">
        <v>32</v>
      </c>
      <c r="B192" t="s">
        <v>3</v>
      </c>
      <c r="C192">
        <f t="shared" si="2"/>
        <v>7</v>
      </c>
      <c r="D192">
        <v>0</v>
      </c>
    </row>
    <row r="193" spans="1:4" x14ac:dyDescent="0.3">
      <c r="A193" t="s">
        <v>33</v>
      </c>
      <c r="B193" t="s">
        <v>3</v>
      </c>
      <c r="C193">
        <f t="shared" si="2"/>
        <v>7</v>
      </c>
      <c r="D193">
        <v>138.411</v>
      </c>
    </row>
    <row r="194" spans="1:4" x14ac:dyDescent="0.3">
      <c r="A194" t="s">
        <v>34</v>
      </c>
      <c r="B194" t="s">
        <v>3</v>
      </c>
      <c r="C194">
        <f t="shared" si="2"/>
        <v>7</v>
      </c>
      <c r="D194">
        <v>351.35100000000011</v>
      </c>
    </row>
    <row r="195" spans="1:4" x14ac:dyDescent="0.3">
      <c r="A195" t="s">
        <v>35</v>
      </c>
      <c r="B195" t="s">
        <v>3</v>
      </c>
      <c r="C195">
        <f t="shared" si="2"/>
        <v>7</v>
      </c>
      <c r="D195">
        <v>159.70500000000001</v>
      </c>
    </row>
    <row r="196" spans="1:4" x14ac:dyDescent="0.3">
      <c r="A196" t="s">
        <v>36</v>
      </c>
      <c r="B196" t="s">
        <v>3</v>
      </c>
      <c r="C196">
        <f t="shared" si="2"/>
        <v>7</v>
      </c>
      <c r="D196">
        <v>191.64599999999999</v>
      </c>
    </row>
    <row r="197" spans="1:4" x14ac:dyDescent="0.3">
      <c r="A197" t="s">
        <v>37</v>
      </c>
      <c r="B197" t="s">
        <v>3</v>
      </c>
      <c r="C197">
        <f t="shared" si="2"/>
        <v>7</v>
      </c>
      <c r="D197">
        <v>234.23400000000001</v>
      </c>
    </row>
    <row r="198" spans="1:4" x14ac:dyDescent="0.3">
      <c r="A198" t="s">
        <v>38</v>
      </c>
      <c r="B198" t="s">
        <v>3</v>
      </c>
      <c r="C198">
        <f t="shared" si="2"/>
        <v>7</v>
      </c>
      <c r="D198">
        <v>1591.21</v>
      </c>
    </row>
    <row r="199" spans="1:4" x14ac:dyDescent="0.3">
      <c r="A199" t="s">
        <v>39</v>
      </c>
      <c r="B199" t="s">
        <v>3</v>
      </c>
      <c r="C199">
        <f t="shared" si="2"/>
        <v>7</v>
      </c>
      <c r="D199">
        <v>2827.4</v>
      </c>
    </row>
    <row r="200" spans="1:4" x14ac:dyDescent="0.3">
      <c r="A200" t="s">
        <v>40</v>
      </c>
      <c r="B200" t="s">
        <v>3</v>
      </c>
      <c r="C200">
        <f t="shared" si="2"/>
        <v>7</v>
      </c>
      <c r="D200">
        <v>0</v>
      </c>
    </row>
    <row r="201" spans="1:4" x14ac:dyDescent="0.3">
      <c r="A201" t="s">
        <v>41</v>
      </c>
      <c r="B201" t="s">
        <v>3</v>
      </c>
      <c r="C201">
        <f t="shared" si="2"/>
        <v>7</v>
      </c>
      <c r="D201">
        <v>642</v>
      </c>
    </row>
    <row r="202" spans="1:4" x14ac:dyDescent="0.3">
      <c r="A202" t="s">
        <v>44</v>
      </c>
      <c r="B202" t="s">
        <v>3</v>
      </c>
      <c r="C202">
        <f t="shared" si="2"/>
        <v>7</v>
      </c>
      <c r="D202">
        <v>1016</v>
      </c>
    </row>
    <row r="203" spans="1:4" x14ac:dyDescent="0.3">
      <c r="A203" t="s">
        <v>43</v>
      </c>
      <c r="B203" t="s">
        <v>3</v>
      </c>
      <c r="C203">
        <f t="shared" si="2"/>
        <v>7</v>
      </c>
      <c r="D203">
        <v>180</v>
      </c>
    </row>
    <row r="204" spans="1:4" x14ac:dyDescent="0.3">
      <c r="A204" t="s">
        <v>23</v>
      </c>
      <c r="B204" t="s">
        <v>3</v>
      </c>
      <c r="C204">
        <f t="shared" si="2"/>
        <v>7</v>
      </c>
      <c r="D204">
        <v>5695.4</v>
      </c>
    </row>
    <row r="205" spans="1:4" x14ac:dyDescent="0.3">
      <c r="A205" t="s">
        <v>42</v>
      </c>
      <c r="B205" t="s">
        <v>3</v>
      </c>
      <c r="C205">
        <f t="shared" si="2"/>
        <v>7</v>
      </c>
      <c r="D205">
        <v>0</v>
      </c>
    </row>
    <row r="206" spans="1:4" x14ac:dyDescent="0.3">
      <c r="A206" t="s">
        <v>20</v>
      </c>
      <c r="B206" t="s">
        <v>3</v>
      </c>
      <c r="C206">
        <f t="shared" si="2"/>
        <v>7</v>
      </c>
      <c r="D206">
        <v>6680.7</v>
      </c>
    </row>
  </sheetData>
  <autoFilter ref="A3:D3" xr:uid="{00000000-0001-0000-0500-000000000000}">
    <sortState xmlns:xlrd2="http://schemas.microsoft.com/office/spreadsheetml/2017/richdata2" ref="A4:D235">
      <sortCondition ref="C3:C235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7"/>
  <sheetViews>
    <sheetView workbookViewId="0">
      <selection activeCell="C16" sqref="C16"/>
    </sheetView>
  </sheetViews>
  <sheetFormatPr defaultColWidth="8.88671875" defaultRowHeight="14.4" x14ac:dyDescent="0.3"/>
  <sheetData>
    <row r="1" spans="1:3" x14ac:dyDescent="0.3">
      <c r="A1" t="s">
        <v>48</v>
      </c>
    </row>
    <row r="2" spans="1:3" x14ac:dyDescent="0.3">
      <c r="A2" t="s">
        <v>49</v>
      </c>
    </row>
    <row r="3" spans="1:3" x14ac:dyDescent="0.3">
      <c r="A3" t="s">
        <v>45</v>
      </c>
      <c r="B3" t="s">
        <v>46</v>
      </c>
      <c r="C3" t="s">
        <v>50</v>
      </c>
    </row>
    <row r="4" spans="1:3" x14ac:dyDescent="0.3">
      <c r="A4" t="s">
        <v>3</v>
      </c>
      <c r="B4">
        <v>1</v>
      </c>
      <c r="C4">
        <v>1000</v>
      </c>
    </row>
    <row r="5" spans="1:3" x14ac:dyDescent="0.3">
      <c r="A5" t="s">
        <v>3</v>
      </c>
      <c r="B5">
        <v>2</v>
      </c>
      <c r="C5">
        <v>1000</v>
      </c>
    </row>
    <row r="6" spans="1:3" x14ac:dyDescent="0.3">
      <c r="A6" t="s">
        <v>3</v>
      </c>
      <c r="B6">
        <v>3</v>
      </c>
      <c r="C6">
        <v>1000</v>
      </c>
    </row>
    <row r="7" spans="1:3" x14ac:dyDescent="0.3">
      <c r="A7" t="s">
        <v>3</v>
      </c>
      <c r="B7">
        <v>4</v>
      </c>
      <c r="C7">
        <v>1000</v>
      </c>
    </row>
    <row r="8" spans="1:3" x14ac:dyDescent="0.3">
      <c r="A8" t="s">
        <v>3</v>
      </c>
      <c r="B8">
        <v>5</v>
      </c>
      <c r="C8">
        <v>1000</v>
      </c>
    </row>
    <row r="9" spans="1:3" x14ac:dyDescent="0.3">
      <c r="A9" t="s">
        <v>3</v>
      </c>
      <c r="B9">
        <v>6</v>
      </c>
      <c r="C9">
        <v>1000</v>
      </c>
    </row>
    <row r="10" spans="1:3" x14ac:dyDescent="0.3">
      <c r="A10" t="s">
        <v>3</v>
      </c>
      <c r="B10">
        <v>7</v>
      </c>
      <c r="C10">
        <v>1000</v>
      </c>
    </row>
    <row r="11" spans="1:3" x14ac:dyDescent="0.3">
      <c r="A11" t="s">
        <v>4</v>
      </c>
      <c r="B11">
        <v>1</v>
      </c>
      <c r="C11">
        <v>116.02827997172005</v>
      </c>
    </row>
    <row r="12" spans="1:3" x14ac:dyDescent="0.3">
      <c r="A12" t="s">
        <v>4</v>
      </c>
      <c r="B12">
        <v>2</v>
      </c>
      <c r="C12">
        <v>103.13624886375115</v>
      </c>
    </row>
    <row r="13" spans="1:3" x14ac:dyDescent="0.3">
      <c r="A13" t="s">
        <v>4</v>
      </c>
      <c r="B13">
        <v>3</v>
      </c>
      <c r="C13">
        <v>103.13624886375115</v>
      </c>
    </row>
    <row r="14" spans="1:3" x14ac:dyDescent="0.3">
      <c r="A14" t="s">
        <v>4</v>
      </c>
      <c r="B14">
        <v>4</v>
      </c>
      <c r="C14">
        <v>103.13624886375115</v>
      </c>
    </row>
    <row r="15" spans="1:3" x14ac:dyDescent="0.3">
      <c r="A15" t="s">
        <v>4</v>
      </c>
      <c r="B15">
        <v>5</v>
      </c>
      <c r="C15">
        <v>90.244217755782245</v>
      </c>
    </row>
    <row r="16" spans="1:3" x14ac:dyDescent="0.3">
      <c r="A16" t="s">
        <v>4</v>
      </c>
      <c r="B16">
        <v>6</v>
      </c>
      <c r="C16">
        <v>77.35218664781334</v>
      </c>
    </row>
    <row r="17" spans="1:3" x14ac:dyDescent="0.3">
      <c r="A17" t="s">
        <v>4</v>
      </c>
      <c r="B17">
        <v>7</v>
      </c>
      <c r="C17">
        <v>77.35218664781334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7"/>
  <sheetViews>
    <sheetView workbookViewId="0">
      <selection activeCell="C12" sqref="C12"/>
    </sheetView>
  </sheetViews>
  <sheetFormatPr defaultColWidth="8.88671875" defaultRowHeight="14.4" x14ac:dyDescent="0.3"/>
  <sheetData>
    <row r="1" spans="1:3" x14ac:dyDescent="0.3">
      <c r="A1" t="s">
        <v>48</v>
      </c>
    </row>
    <row r="2" spans="1:3" x14ac:dyDescent="0.3">
      <c r="A2" t="s">
        <v>51</v>
      </c>
    </row>
    <row r="3" spans="1:3" x14ac:dyDescent="0.3">
      <c r="A3" t="s">
        <v>45</v>
      </c>
      <c r="B3" t="s">
        <v>46</v>
      </c>
      <c r="C3" t="s">
        <v>52</v>
      </c>
    </row>
    <row r="4" spans="1:3" x14ac:dyDescent="0.3">
      <c r="A4" t="s">
        <v>3</v>
      </c>
      <c r="B4">
        <v>1</v>
      </c>
      <c r="C4">
        <v>0</v>
      </c>
    </row>
    <row r="5" spans="1:3" x14ac:dyDescent="0.3">
      <c r="A5" t="s">
        <v>3</v>
      </c>
      <c r="B5">
        <v>2</v>
      </c>
      <c r="C5">
        <v>0</v>
      </c>
    </row>
    <row r="6" spans="1:3" x14ac:dyDescent="0.3">
      <c r="A6" t="s">
        <v>3</v>
      </c>
      <c r="B6">
        <v>3</v>
      </c>
      <c r="C6">
        <v>0</v>
      </c>
    </row>
    <row r="7" spans="1:3" x14ac:dyDescent="0.3">
      <c r="A7" t="s">
        <v>3</v>
      </c>
      <c r="B7">
        <v>4</v>
      </c>
      <c r="C7">
        <v>0</v>
      </c>
    </row>
    <row r="8" spans="1:3" x14ac:dyDescent="0.3">
      <c r="A8" t="s">
        <v>3</v>
      </c>
      <c r="B8">
        <v>5</v>
      </c>
      <c r="C8">
        <v>0</v>
      </c>
    </row>
    <row r="9" spans="1:3" x14ac:dyDescent="0.3">
      <c r="A9" t="s">
        <v>3</v>
      </c>
      <c r="B9">
        <v>6</v>
      </c>
      <c r="C9">
        <v>0</v>
      </c>
    </row>
    <row r="10" spans="1:3" x14ac:dyDescent="0.3">
      <c r="A10" t="s">
        <v>3</v>
      </c>
      <c r="B10">
        <v>7</v>
      </c>
      <c r="C10">
        <v>0</v>
      </c>
    </row>
    <row r="11" spans="1:3" x14ac:dyDescent="0.3">
      <c r="A11" t="s">
        <v>4</v>
      </c>
      <c r="B11">
        <v>1</v>
      </c>
      <c r="C11">
        <v>4.3462259872740123</v>
      </c>
    </row>
    <row r="12" spans="1:3" x14ac:dyDescent="0.3">
      <c r="A12" t="s">
        <v>4</v>
      </c>
      <c r="B12">
        <v>2</v>
      </c>
      <c r="C12">
        <v>4.3720624561204708</v>
      </c>
    </row>
    <row r="13" spans="1:3" x14ac:dyDescent="0.3">
      <c r="A13" t="s">
        <v>4</v>
      </c>
      <c r="B13">
        <v>3</v>
      </c>
      <c r="C13">
        <v>4.6604143350278866</v>
      </c>
    </row>
    <row r="14" spans="1:3" x14ac:dyDescent="0.3">
      <c r="A14" t="s">
        <v>4</v>
      </c>
      <c r="B14">
        <v>4</v>
      </c>
      <c r="C14">
        <v>4.953762953237046</v>
      </c>
    </row>
    <row r="15" spans="1:3" x14ac:dyDescent="0.3">
      <c r="A15" t="s">
        <v>4</v>
      </c>
      <c r="B15">
        <v>5</v>
      </c>
      <c r="C15">
        <v>3.9178345369154632</v>
      </c>
    </row>
    <row r="16" spans="1:3" x14ac:dyDescent="0.3">
      <c r="A16" t="s">
        <v>4</v>
      </c>
      <c r="B16">
        <v>6</v>
      </c>
      <c r="C16">
        <v>2.8819061205938801</v>
      </c>
    </row>
    <row r="17" spans="1:3" x14ac:dyDescent="0.3">
      <c r="A17" t="s">
        <v>4</v>
      </c>
      <c r="B17">
        <v>7</v>
      </c>
      <c r="C17">
        <v>2.8819061205938801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8"/>
  <sheetViews>
    <sheetView topLeftCell="A3" workbookViewId="0">
      <selection activeCell="A3" sqref="A3"/>
    </sheetView>
  </sheetViews>
  <sheetFormatPr defaultColWidth="8.88671875" defaultRowHeight="14.4" x14ac:dyDescent="0.3"/>
  <sheetData>
    <row r="1" spans="1:4" x14ac:dyDescent="0.3">
      <c r="A1" t="s">
        <v>0</v>
      </c>
    </row>
    <row r="2" spans="1:4" x14ac:dyDescent="0.3">
      <c r="A2" t="s">
        <v>53</v>
      </c>
    </row>
    <row r="3" spans="1:4" x14ac:dyDescent="0.3">
      <c r="A3" t="s">
        <v>15</v>
      </c>
      <c r="B3" t="s">
        <v>45</v>
      </c>
      <c r="C3" t="s">
        <v>46</v>
      </c>
      <c r="D3" t="s">
        <v>60</v>
      </c>
    </row>
    <row r="4" spans="1:4" x14ac:dyDescent="0.3">
      <c r="A4" t="s">
        <v>16</v>
      </c>
      <c r="B4" t="s">
        <v>3</v>
      </c>
      <c r="C4">
        <v>1</v>
      </c>
      <c r="D4">
        <v>500000</v>
      </c>
    </row>
    <row r="5" spans="1:4" x14ac:dyDescent="0.3">
      <c r="A5" t="s">
        <v>17</v>
      </c>
      <c r="B5" t="s">
        <v>3</v>
      </c>
      <c r="C5">
        <v>1</v>
      </c>
      <c r="D5">
        <v>500000</v>
      </c>
    </row>
    <row r="6" spans="1:4" x14ac:dyDescent="0.3">
      <c r="A6" t="s">
        <v>18</v>
      </c>
      <c r="B6" t="s">
        <v>3</v>
      </c>
      <c r="C6">
        <v>1</v>
      </c>
      <c r="D6">
        <v>500000</v>
      </c>
    </row>
    <row r="7" spans="1:4" x14ac:dyDescent="0.3">
      <c r="A7" t="s">
        <v>19</v>
      </c>
      <c r="B7" t="s">
        <v>3</v>
      </c>
      <c r="C7">
        <v>1</v>
      </c>
      <c r="D7">
        <v>500000</v>
      </c>
    </row>
    <row r="8" spans="1:4" x14ac:dyDescent="0.3">
      <c r="A8" t="s">
        <v>20</v>
      </c>
      <c r="B8" t="s">
        <v>3</v>
      </c>
      <c r="C8">
        <v>1</v>
      </c>
      <c r="D8">
        <v>500000</v>
      </c>
    </row>
    <row r="9" spans="1:4" x14ac:dyDescent="0.3">
      <c r="A9" t="s">
        <v>21</v>
      </c>
      <c r="B9" t="s">
        <v>3</v>
      </c>
      <c r="C9">
        <v>1</v>
      </c>
      <c r="D9">
        <v>500000</v>
      </c>
    </row>
    <row r="10" spans="1:4" x14ac:dyDescent="0.3">
      <c r="A10" t="s">
        <v>22</v>
      </c>
      <c r="B10" t="s">
        <v>3</v>
      </c>
      <c r="C10">
        <v>1</v>
      </c>
      <c r="D10">
        <v>500000</v>
      </c>
    </row>
    <row r="11" spans="1:4" x14ac:dyDescent="0.3">
      <c r="A11" t="s">
        <v>23</v>
      </c>
      <c r="B11" t="s">
        <v>3</v>
      </c>
      <c r="C11">
        <v>1</v>
      </c>
      <c r="D11">
        <v>500000</v>
      </c>
    </row>
    <row r="12" spans="1:4" x14ac:dyDescent="0.3">
      <c r="A12" t="s">
        <v>54</v>
      </c>
      <c r="B12" t="s">
        <v>3</v>
      </c>
      <c r="C12">
        <v>1</v>
      </c>
      <c r="D12">
        <v>500000</v>
      </c>
    </row>
    <row r="13" spans="1:4" x14ac:dyDescent="0.3">
      <c r="A13" t="s">
        <v>24</v>
      </c>
      <c r="B13" t="s">
        <v>3</v>
      </c>
      <c r="C13">
        <v>1</v>
      </c>
      <c r="D13">
        <v>500000</v>
      </c>
    </row>
    <row r="14" spans="1:4" x14ac:dyDescent="0.3">
      <c r="A14" t="s">
        <v>25</v>
      </c>
      <c r="B14" t="s">
        <v>3</v>
      </c>
      <c r="C14">
        <v>1</v>
      </c>
      <c r="D14">
        <v>500000</v>
      </c>
    </row>
    <row r="15" spans="1:4" x14ac:dyDescent="0.3">
      <c r="A15" t="s">
        <v>26</v>
      </c>
      <c r="B15" t="s">
        <v>3</v>
      </c>
      <c r="C15">
        <v>1</v>
      </c>
      <c r="D15">
        <v>500000</v>
      </c>
    </row>
    <row r="16" spans="1:4" x14ac:dyDescent="0.3">
      <c r="A16" t="s">
        <v>27</v>
      </c>
      <c r="B16" t="s">
        <v>3</v>
      </c>
      <c r="C16">
        <v>1</v>
      </c>
      <c r="D16">
        <v>500000</v>
      </c>
    </row>
    <row r="17" spans="1:4" x14ac:dyDescent="0.3">
      <c r="A17" t="s">
        <v>28</v>
      </c>
      <c r="B17" t="s">
        <v>3</v>
      </c>
      <c r="C17">
        <v>1</v>
      </c>
      <c r="D17">
        <v>500000</v>
      </c>
    </row>
    <row r="18" spans="1:4" x14ac:dyDescent="0.3">
      <c r="A18" t="s">
        <v>29</v>
      </c>
      <c r="B18" t="s">
        <v>3</v>
      </c>
      <c r="C18">
        <v>1</v>
      </c>
      <c r="D18">
        <v>500000</v>
      </c>
    </row>
    <row r="19" spans="1:4" x14ac:dyDescent="0.3">
      <c r="A19" t="s">
        <v>30</v>
      </c>
      <c r="B19" t="s">
        <v>3</v>
      </c>
      <c r="C19">
        <v>1</v>
      </c>
      <c r="D19">
        <v>500000</v>
      </c>
    </row>
    <row r="20" spans="1:4" x14ac:dyDescent="0.3">
      <c r="A20" t="s">
        <v>31</v>
      </c>
      <c r="B20" t="s">
        <v>3</v>
      </c>
      <c r="C20">
        <v>1</v>
      </c>
      <c r="D20">
        <v>500000</v>
      </c>
    </row>
    <row r="21" spans="1:4" x14ac:dyDescent="0.3">
      <c r="A21" t="s">
        <v>32</v>
      </c>
      <c r="B21" t="s">
        <v>3</v>
      </c>
      <c r="C21">
        <v>1</v>
      </c>
      <c r="D21">
        <v>500000</v>
      </c>
    </row>
    <row r="22" spans="1:4" x14ac:dyDescent="0.3">
      <c r="A22" t="s">
        <v>55</v>
      </c>
      <c r="B22" t="s">
        <v>3</v>
      </c>
      <c r="C22">
        <v>1</v>
      </c>
      <c r="D22">
        <v>500000</v>
      </c>
    </row>
    <row r="23" spans="1:4" x14ac:dyDescent="0.3">
      <c r="A23" t="s">
        <v>33</v>
      </c>
      <c r="B23" t="s">
        <v>3</v>
      </c>
      <c r="C23">
        <v>1</v>
      </c>
      <c r="D23">
        <v>500000</v>
      </c>
    </row>
    <row r="24" spans="1:4" x14ac:dyDescent="0.3">
      <c r="A24" t="s">
        <v>34</v>
      </c>
      <c r="B24" t="s">
        <v>3</v>
      </c>
      <c r="C24">
        <v>1</v>
      </c>
      <c r="D24">
        <v>500000</v>
      </c>
    </row>
    <row r="25" spans="1:4" x14ac:dyDescent="0.3">
      <c r="A25" t="s">
        <v>35</v>
      </c>
      <c r="B25" t="s">
        <v>3</v>
      </c>
      <c r="C25">
        <v>1</v>
      </c>
      <c r="D25">
        <v>500000</v>
      </c>
    </row>
    <row r="26" spans="1:4" x14ac:dyDescent="0.3">
      <c r="A26" t="s">
        <v>36</v>
      </c>
      <c r="B26" t="s">
        <v>3</v>
      </c>
      <c r="C26">
        <v>1</v>
      </c>
      <c r="D26">
        <v>500000</v>
      </c>
    </row>
    <row r="27" spans="1:4" x14ac:dyDescent="0.3">
      <c r="A27" t="s">
        <v>37</v>
      </c>
      <c r="B27" t="s">
        <v>3</v>
      </c>
      <c r="C27">
        <v>1</v>
      </c>
      <c r="D27">
        <v>500000</v>
      </c>
    </row>
    <row r="28" spans="1:4" x14ac:dyDescent="0.3">
      <c r="A28" t="s">
        <v>38</v>
      </c>
      <c r="B28" t="s">
        <v>3</v>
      </c>
      <c r="C28">
        <v>1</v>
      </c>
      <c r="D28">
        <v>500000</v>
      </c>
    </row>
    <row r="29" spans="1:4" x14ac:dyDescent="0.3">
      <c r="A29" t="s">
        <v>39</v>
      </c>
      <c r="B29" t="s">
        <v>3</v>
      </c>
      <c r="C29">
        <v>1</v>
      </c>
      <c r="D29">
        <v>500000</v>
      </c>
    </row>
    <row r="30" spans="1:4" x14ac:dyDescent="0.3">
      <c r="A30" t="s">
        <v>40</v>
      </c>
      <c r="B30" t="s">
        <v>3</v>
      </c>
      <c r="C30">
        <v>1</v>
      </c>
      <c r="D30">
        <v>500000</v>
      </c>
    </row>
    <row r="31" spans="1:4" x14ac:dyDescent="0.3">
      <c r="A31" t="s">
        <v>41</v>
      </c>
      <c r="B31" t="s">
        <v>3</v>
      </c>
      <c r="C31">
        <v>1</v>
      </c>
      <c r="D31">
        <v>500000</v>
      </c>
    </row>
    <row r="32" spans="1:4" x14ac:dyDescent="0.3">
      <c r="A32" t="s">
        <v>42</v>
      </c>
      <c r="B32" t="s">
        <v>3</v>
      </c>
      <c r="C32">
        <v>1</v>
      </c>
      <c r="D32">
        <v>500000</v>
      </c>
    </row>
    <row r="33" spans="1:4" x14ac:dyDescent="0.3">
      <c r="A33" t="s">
        <v>44</v>
      </c>
      <c r="B33" t="s">
        <v>3</v>
      </c>
      <c r="C33">
        <v>1</v>
      </c>
      <c r="D33">
        <v>500000</v>
      </c>
    </row>
    <row r="34" spans="1:4" x14ac:dyDescent="0.3">
      <c r="A34" t="s">
        <v>16</v>
      </c>
      <c r="B34" t="s">
        <v>4</v>
      </c>
      <c r="C34">
        <v>1</v>
      </c>
      <c r="D34">
        <v>500000</v>
      </c>
    </row>
    <row r="35" spans="1:4" x14ac:dyDescent="0.3">
      <c r="A35" t="s">
        <v>17</v>
      </c>
      <c r="B35" t="s">
        <v>4</v>
      </c>
      <c r="C35">
        <v>1</v>
      </c>
      <c r="D35">
        <v>500000</v>
      </c>
    </row>
    <row r="36" spans="1:4" x14ac:dyDescent="0.3">
      <c r="A36" t="s">
        <v>18</v>
      </c>
      <c r="B36" t="s">
        <v>4</v>
      </c>
      <c r="C36">
        <v>1</v>
      </c>
      <c r="D36">
        <v>500000</v>
      </c>
    </row>
    <row r="37" spans="1:4" x14ac:dyDescent="0.3">
      <c r="A37" t="s">
        <v>19</v>
      </c>
      <c r="B37" t="s">
        <v>4</v>
      </c>
      <c r="C37">
        <v>1</v>
      </c>
      <c r="D37">
        <v>500000</v>
      </c>
    </row>
    <row r="38" spans="1:4" x14ac:dyDescent="0.3">
      <c r="A38" t="s">
        <v>20</v>
      </c>
      <c r="B38" t="s">
        <v>4</v>
      </c>
      <c r="C38">
        <v>1</v>
      </c>
      <c r="D38">
        <v>500000</v>
      </c>
    </row>
    <row r="39" spans="1:4" x14ac:dyDescent="0.3">
      <c r="A39" t="s">
        <v>21</v>
      </c>
      <c r="B39" t="s">
        <v>4</v>
      </c>
      <c r="C39">
        <v>1</v>
      </c>
      <c r="D39">
        <v>500000</v>
      </c>
    </row>
    <row r="40" spans="1:4" x14ac:dyDescent="0.3">
      <c r="A40" t="s">
        <v>22</v>
      </c>
      <c r="B40" t="s">
        <v>4</v>
      </c>
      <c r="C40">
        <v>1</v>
      </c>
      <c r="D40">
        <v>500000</v>
      </c>
    </row>
    <row r="41" spans="1:4" x14ac:dyDescent="0.3">
      <c r="A41" t="s">
        <v>56</v>
      </c>
      <c r="B41" t="s">
        <v>4</v>
      </c>
      <c r="C41">
        <v>1</v>
      </c>
      <c r="D41">
        <v>500000</v>
      </c>
    </row>
    <row r="42" spans="1:4" x14ac:dyDescent="0.3">
      <c r="A42" t="s">
        <v>57</v>
      </c>
      <c r="B42" t="s">
        <v>4</v>
      </c>
      <c r="C42">
        <v>1</v>
      </c>
      <c r="D42">
        <v>500000</v>
      </c>
    </row>
    <row r="43" spans="1:4" x14ac:dyDescent="0.3">
      <c r="A43" t="s">
        <v>23</v>
      </c>
      <c r="B43" t="s">
        <v>4</v>
      </c>
      <c r="C43">
        <v>1</v>
      </c>
      <c r="D43">
        <v>500000</v>
      </c>
    </row>
    <row r="44" spans="1:4" x14ac:dyDescent="0.3">
      <c r="A44" t="s">
        <v>54</v>
      </c>
      <c r="B44" t="s">
        <v>4</v>
      </c>
      <c r="C44">
        <v>1</v>
      </c>
      <c r="D44">
        <v>500000</v>
      </c>
    </row>
    <row r="45" spans="1:4" x14ac:dyDescent="0.3">
      <c r="A45" t="s">
        <v>24</v>
      </c>
      <c r="B45" t="s">
        <v>4</v>
      </c>
      <c r="C45">
        <v>1</v>
      </c>
      <c r="D45">
        <v>500000</v>
      </c>
    </row>
    <row r="46" spans="1:4" x14ac:dyDescent="0.3">
      <c r="A46" t="s">
        <v>25</v>
      </c>
      <c r="B46" t="s">
        <v>4</v>
      </c>
      <c r="C46">
        <v>1</v>
      </c>
      <c r="D46">
        <v>500000</v>
      </c>
    </row>
    <row r="47" spans="1:4" x14ac:dyDescent="0.3">
      <c r="A47" t="s">
        <v>26</v>
      </c>
      <c r="B47" t="s">
        <v>4</v>
      </c>
      <c r="C47">
        <v>1</v>
      </c>
      <c r="D47">
        <v>500000</v>
      </c>
    </row>
    <row r="48" spans="1:4" x14ac:dyDescent="0.3">
      <c r="A48" t="s">
        <v>27</v>
      </c>
      <c r="B48" t="s">
        <v>4</v>
      </c>
      <c r="C48">
        <v>1</v>
      </c>
      <c r="D48">
        <v>500000</v>
      </c>
    </row>
    <row r="49" spans="1:4" x14ac:dyDescent="0.3">
      <c r="A49" t="s">
        <v>28</v>
      </c>
      <c r="B49" t="s">
        <v>4</v>
      </c>
      <c r="C49">
        <v>1</v>
      </c>
      <c r="D49">
        <v>500000</v>
      </c>
    </row>
    <row r="50" spans="1:4" x14ac:dyDescent="0.3">
      <c r="A50" t="s">
        <v>29</v>
      </c>
      <c r="B50" t="s">
        <v>4</v>
      </c>
      <c r="C50">
        <v>1</v>
      </c>
      <c r="D50">
        <v>500000</v>
      </c>
    </row>
    <row r="51" spans="1:4" x14ac:dyDescent="0.3">
      <c r="A51" t="s">
        <v>30</v>
      </c>
      <c r="B51" t="s">
        <v>4</v>
      </c>
      <c r="C51">
        <v>1</v>
      </c>
      <c r="D51">
        <v>500000</v>
      </c>
    </row>
    <row r="52" spans="1:4" x14ac:dyDescent="0.3">
      <c r="A52" t="s">
        <v>31</v>
      </c>
      <c r="B52" t="s">
        <v>4</v>
      </c>
      <c r="C52">
        <v>1</v>
      </c>
      <c r="D52">
        <v>500000</v>
      </c>
    </row>
    <row r="53" spans="1:4" x14ac:dyDescent="0.3">
      <c r="A53" t="s">
        <v>32</v>
      </c>
      <c r="B53" t="s">
        <v>4</v>
      </c>
      <c r="C53">
        <v>1</v>
      </c>
      <c r="D53">
        <v>500000</v>
      </c>
    </row>
    <row r="54" spans="1:4" x14ac:dyDescent="0.3">
      <c r="A54" t="s">
        <v>58</v>
      </c>
      <c r="B54" t="s">
        <v>4</v>
      </c>
      <c r="C54">
        <v>1</v>
      </c>
      <c r="D54">
        <v>500000</v>
      </c>
    </row>
    <row r="55" spans="1:4" x14ac:dyDescent="0.3">
      <c r="A55" t="s">
        <v>55</v>
      </c>
      <c r="B55" t="s">
        <v>4</v>
      </c>
      <c r="C55">
        <v>1</v>
      </c>
      <c r="D55">
        <v>500000</v>
      </c>
    </row>
    <row r="56" spans="1:4" x14ac:dyDescent="0.3">
      <c r="A56" t="s">
        <v>59</v>
      </c>
      <c r="B56" t="s">
        <v>4</v>
      </c>
      <c r="C56">
        <v>1</v>
      </c>
      <c r="D56">
        <v>500000</v>
      </c>
    </row>
    <row r="57" spans="1:4" x14ac:dyDescent="0.3">
      <c r="A57" t="s">
        <v>33</v>
      </c>
      <c r="B57" t="s">
        <v>4</v>
      </c>
      <c r="C57">
        <v>1</v>
      </c>
      <c r="D57">
        <v>500000</v>
      </c>
    </row>
    <row r="58" spans="1:4" x14ac:dyDescent="0.3">
      <c r="A58" t="s">
        <v>34</v>
      </c>
      <c r="B58" t="s">
        <v>4</v>
      </c>
      <c r="C58">
        <v>1</v>
      </c>
      <c r="D58">
        <v>500000</v>
      </c>
    </row>
    <row r="59" spans="1:4" x14ac:dyDescent="0.3">
      <c r="A59" t="s">
        <v>35</v>
      </c>
      <c r="B59" t="s">
        <v>4</v>
      </c>
      <c r="C59">
        <v>1</v>
      </c>
      <c r="D59">
        <v>500000</v>
      </c>
    </row>
    <row r="60" spans="1:4" x14ac:dyDescent="0.3">
      <c r="A60" t="s">
        <v>36</v>
      </c>
      <c r="B60" t="s">
        <v>4</v>
      </c>
      <c r="C60">
        <v>1</v>
      </c>
      <c r="D60">
        <v>500000</v>
      </c>
    </row>
    <row r="61" spans="1:4" x14ac:dyDescent="0.3">
      <c r="A61" t="s">
        <v>37</v>
      </c>
      <c r="B61" t="s">
        <v>4</v>
      </c>
      <c r="C61">
        <v>1</v>
      </c>
      <c r="D61">
        <v>500000</v>
      </c>
    </row>
    <row r="62" spans="1:4" x14ac:dyDescent="0.3">
      <c r="A62" t="s">
        <v>38</v>
      </c>
      <c r="B62" t="s">
        <v>4</v>
      </c>
      <c r="C62">
        <v>1</v>
      </c>
      <c r="D62">
        <v>500000</v>
      </c>
    </row>
    <row r="63" spans="1:4" x14ac:dyDescent="0.3">
      <c r="A63" t="s">
        <v>39</v>
      </c>
      <c r="B63" t="s">
        <v>4</v>
      </c>
      <c r="C63">
        <v>1</v>
      </c>
      <c r="D63">
        <v>500000</v>
      </c>
    </row>
    <row r="64" spans="1:4" x14ac:dyDescent="0.3">
      <c r="A64" t="s">
        <v>40</v>
      </c>
      <c r="B64" t="s">
        <v>4</v>
      </c>
      <c r="C64">
        <v>1</v>
      </c>
      <c r="D64">
        <v>500000</v>
      </c>
    </row>
    <row r="65" spans="1:4" x14ac:dyDescent="0.3">
      <c r="A65" t="s">
        <v>41</v>
      </c>
      <c r="B65" t="s">
        <v>4</v>
      </c>
      <c r="C65">
        <v>1</v>
      </c>
      <c r="D65">
        <v>500000</v>
      </c>
    </row>
    <row r="66" spans="1:4" x14ac:dyDescent="0.3">
      <c r="A66" t="s">
        <v>42</v>
      </c>
      <c r="B66" t="s">
        <v>4</v>
      </c>
      <c r="C66">
        <v>1</v>
      </c>
      <c r="D66">
        <v>500000</v>
      </c>
    </row>
    <row r="67" spans="1:4" x14ac:dyDescent="0.3">
      <c r="A67" t="s">
        <v>43</v>
      </c>
      <c r="B67" t="s">
        <v>4</v>
      </c>
      <c r="C67">
        <v>1</v>
      </c>
      <c r="D67">
        <v>500000</v>
      </c>
    </row>
    <row r="68" spans="1:4" x14ac:dyDescent="0.3">
      <c r="A68" t="s">
        <v>44</v>
      </c>
      <c r="B68" t="s">
        <v>4</v>
      </c>
      <c r="C68">
        <v>1</v>
      </c>
      <c r="D68">
        <v>500000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3"/>
  <sheetViews>
    <sheetView workbookViewId="0"/>
  </sheetViews>
  <sheetFormatPr defaultColWidth="8.88671875" defaultRowHeight="14.4" x14ac:dyDescent="0.3"/>
  <cols>
    <col min="1" max="1" width="20.109375" customWidth="1"/>
  </cols>
  <sheetData>
    <row r="1" spans="1:3" x14ac:dyDescent="0.3">
      <c r="A1" t="s">
        <v>48</v>
      </c>
    </row>
    <row r="2" spans="1:3" x14ac:dyDescent="0.3">
      <c r="A2" t="s">
        <v>61</v>
      </c>
    </row>
    <row r="3" spans="1:3" x14ac:dyDescent="0.3">
      <c r="A3" t="s">
        <v>45</v>
      </c>
      <c r="B3" t="s">
        <v>46</v>
      </c>
      <c r="C3" t="s">
        <v>62</v>
      </c>
    </row>
    <row r="4" spans="1:3" x14ac:dyDescent="0.3">
      <c r="A4" t="s">
        <v>3</v>
      </c>
      <c r="B4">
        <v>1</v>
      </c>
      <c r="C4">
        <v>100</v>
      </c>
    </row>
    <row r="5" spans="1:3" x14ac:dyDescent="0.3">
      <c r="A5" t="s">
        <v>3</v>
      </c>
      <c r="B5">
        <v>2</v>
      </c>
      <c r="C5">
        <v>100</v>
      </c>
    </row>
    <row r="6" spans="1:3" x14ac:dyDescent="0.3">
      <c r="A6" t="s">
        <v>3</v>
      </c>
      <c r="B6">
        <v>3</v>
      </c>
      <c r="C6">
        <v>100</v>
      </c>
    </row>
    <row r="7" spans="1:3" x14ac:dyDescent="0.3">
      <c r="A7" t="s">
        <v>3</v>
      </c>
      <c r="B7">
        <v>4</v>
      </c>
      <c r="C7">
        <v>100</v>
      </c>
    </row>
    <row r="8" spans="1:3" x14ac:dyDescent="0.3">
      <c r="A8" t="s">
        <v>3</v>
      </c>
      <c r="B8">
        <v>5</v>
      </c>
      <c r="C8">
        <v>100</v>
      </c>
    </row>
    <row r="9" spans="1:3" x14ac:dyDescent="0.3">
      <c r="A9" t="s">
        <v>3</v>
      </c>
      <c r="B9">
        <v>6</v>
      </c>
      <c r="C9">
        <v>100</v>
      </c>
    </row>
    <row r="10" spans="1:3" x14ac:dyDescent="0.3">
      <c r="A10" t="s">
        <v>3</v>
      </c>
      <c r="B10">
        <v>7</v>
      </c>
      <c r="C10">
        <v>100</v>
      </c>
    </row>
    <row r="11" spans="1:3" x14ac:dyDescent="0.3">
      <c r="A11" t="s">
        <v>4</v>
      </c>
      <c r="B11">
        <v>1</v>
      </c>
      <c r="C11" s="1">
        <v>90.244217755782259</v>
      </c>
    </row>
    <row r="12" spans="1:3" x14ac:dyDescent="0.3">
      <c r="A12" t="s">
        <v>4</v>
      </c>
      <c r="B12">
        <v>2</v>
      </c>
      <c r="C12" s="1">
        <v>77.35218664781334</v>
      </c>
    </row>
    <row r="13" spans="1:3" x14ac:dyDescent="0.3">
      <c r="A13" t="s">
        <v>4</v>
      </c>
      <c r="B13">
        <v>3</v>
      </c>
      <c r="C13" s="1">
        <v>77.35218664781334</v>
      </c>
    </row>
    <row r="14" spans="1:3" x14ac:dyDescent="0.3">
      <c r="A14" t="s">
        <v>4</v>
      </c>
      <c r="B14">
        <v>4</v>
      </c>
      <c r="C14" s="1">
        <v>77.35218664781334</v>
      </c>
    </row>
    <row r="15" spans="1:3" x14ac:dyDescent="0.3">
      <c r="A15" t="s">
        <v>4</v>
      </c>
      <c r="B15">
        <v>5</v>
      </c>
      <c r="C15" s="1">
        <v>65.534491465508538</v>
      </c>
    </row>
    <row r="16" spans="1:3" x14ac:dyDescent="0.3">
      <c r="A16" t="s">
        <v>4</v>
      </c>
      <c r="B16">
        <v>6</v>
      </c>
      <c r="C16" s="1">
        <v>53.716796283203728</v>
      </c>
    </row>
    <row r="17" spans="1:7" x14ac:dyDescent="0.3">
      <c r="A17" t="s">
        <v>4</v>
      </c>
      <c r="B17">
        <v>7</v>
      </c>
      <c r="C17" s="1">
        <v>53.716796283203728</v>
      </c>
    </row>
    <row r="21" spans="1:7" x14ac:dyDescent="0.3">
      <c r="G21" s="1"/>
    </row>
    <row r="22" spans="1:7" x14ac:dyDescent="0.3">
      <c r="G22" s="1"/>
    </row>
    <row r="23" spans="1:7" x14ac:dyDescent="0.3">
      <c r="G23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7"/>
  <sheetViews>
    <sheetView workbookViewId="0">
      <selection activeCell="J28" sqref="J28"/>
    </sheetView>
  </sheetViews>
  <sheetFormatPr defaultColWidth="8.88671875" defaultRowHeight="14.4" x14ac:dyDescent="0.3"/>
  <sheetData>
    <row r="1" spans="1:3" x14ac:dyDescent="0.3">
      <c r="A1" t="s">
        <v>48</v>
      </c>
    </row>
    <row r="2" spans="1:3" x14ac:dyDescent="0.3">
      <c r="A2" t="s">
        <v>63</v>
      </c>
    </row>
    <row r="3" spans="1:3" x14ac:dyDescent="0.3">
      <c r="A3" t="s">
        <v>45</v>
      </c>
      <c r="B3" t="s">
        <v>46</v>
      </c>
      <c r="C3" t="s">
        <v>64</v>
      </c>
    </row>
    <row r="4" spans="1:3" x14ac:dyDescent="0.3">
      <c r="A4" t="s">
        <v>3</v>
      </c>
      <c r="B4">
        <v>1</v>
      </c>
      <c r="C4">
        <v>0</v>
      </c>
    </row>
    <row r="5" spans="1:3" x14ac:dyDescent="0.3">
      <c r="A5" t="s">
        <v>3</v>
      </c>
      <c r="B5">
        <v>2</v>
      </c>
      <c r="C5">
        <v>0</v>
      </c>
    </row>
    <row r="6" spans="1:3" x14ac:dyDescent="0.3">
      <c r="A6" t="s">
        <v>3</v>
      </c>
      <c r="B6">
        <v>3</v>
      </c>
      <c r="C6">
        <v>0</v>
      </c>
    </row>
    <row r="7" spans="1:3" x14ac:dyDescent="0.3">
      <c r="A7" t="s">
        <v>3</v>
      </c>
      <c r="B7">
        <v>4</v>
      </c>
      <c r="C7">
        <v>0</v>
      </c>
    </row>
    <row r="8" spans="1:3" x14ac:dyDescent="0.3">
      <c r="A8" t="s">
        <v>3</v>
      </c>
      <c r="B8">
        <v>5</v>
      </c>
      <c r="C8">
        <v>0</v>
      </c>
    </row>
    <row r="9" spans="1:3" x14ac:dyDescent="0.3">
      <c r="A9" t="s">
        <v>3</v>
      </c>
      <c r="B9">
        <v>6</v>
      </c>
      <c r="C9">
        <v>0</v>
      </c>
    </row>
    <row r="10" spans="1:3" x14ac:dyDescent="0.3">
      <c r="A10" t="s">
        <v>3</v>
      </c>
      <c r="B10">
        <v>7</v>
      </c>
      <c r="C10">
        <v>0</v>
      </c>
    </row>
    <row r="11" spans="1:3" x14ac:dyDescent="0.3">
      <c r="A11" t="s">
        <v>4</v>
      </c>
      <c r="B11">
        <v>1</v>
      </c>
      <c r="C11">
        <v>2.1731129936370062</v>
      </c>
    </row>
    <row r="12" spans="1:3" x14ac:dyDescent="0.3">
      <c r="A12" t="s">
        <v>4</v>
      </c>
      <c r="B12">
        <v>2</v>
      </c>
      <c r="C12">
        <v>2.1860312280602354</v>
      </c>
    </row>
    <row r="13" spans="1:3" x14ac:dyDescent="0.3">
      <c r="A13" t="s">
        <v>4</v>
      </c>
      <c r="B13">
        <v>3</v>
      </c>
      <c r="C13">
        <v>2.3302071675139433</v>
      </c>
    </row>
    <row r="14" spans="1:3" x14ac:dyDescent="0.3">
      <c r="A14" t="s">
        <v>4</v>
      </c>
      <c r="B14">
        <v>4</v>
      </c>
      <c r="C14">
        <v>2.476881476618523</v>
      </c>
    </row>
    <row r="15" spans="1:3" x14ac:dyDescent="0.3">
      <c r="A15" t="s">
        <v>4</v>
      </c>
      <c r="B15">
        <v>5</v>
      </c>
      <c r="C15">
        <v>1.9589172684577316</v>
      </c>
    </row>
    <row r="16" spans="1:3" x14ac:dyDescent="0.3">
      <c r="A16" t="s">
        <v>4</v>
      </c>
      <c r="B16">
        <v>6</v>
      </c>
      <c r="C16">
        <v>1.44095306029694</v>
      </c>
    </row>
    <row r="17" spans="1:3" x14ac:dyDescent="0.3">
      <c r="A17" t="s">
        <v>4</v>
      </c>
      <c r="B17">
        <v>7</v>
      </c>
      <c r="C17">
        <v>1.44095306029694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07"/>
  <sheetViews>
    <sheetView workbookViewId="0">
      <selection activeCell="V56" sqref="V56"/>
    </sheetView>
  </sheetViews>
  <sheetFormatPr defaultColWidth="8.88671875" defaultRowHeight="14.4" x14ac:dyDescent="0.3"/>
  <cols>
    <col min="4" max="4" width="11.33203125" bestFit="1" customWidth="1"/>
  </cols>
  <sheetData>
    <row r="1" spans="1:4" x14ac:dyDescent="0.3">
      <c r="A1" t="s">
        <v>65</v>
      </c>
    </row>
    <row r="2" spans="1:4" x14ac:dyDescent="0.3">
      <c r="A2" t="s">
        <v>66</v>
      </c>
    </row>
    <row r="3" spans="1:4" x14ac:dyDescent="0.3">
      <c r="A3" t="s">
        <v>15</v>
      </c>
      <c r="B3" t="s">
        <v>45</v>
      </c>
      <c r="C3" t="s">
        <v>46</v>
      </c>
      <c r="D3" t="s">
        <v>67</v>
      </c>
    </row>
    <row r="4" spans="1:4" x14ac:dyDescent="0.3">
      <c r="A4" t="s">
        <v>16</v>
      </c>
      <c r="B4" t="s">
        <v>3</v>
      </c>
      <c r="C4">
        <v>1</v>
      </c>
      <c r="D4" s="2">
        <v>124704</v>
      </c>
    </row>
    <row r="5" spans="1:4" x14ac:dyDescent="0.3">
      <c r="A5" t="s">
        <v>17</v>
      </c>
      <c r="B5" t="s">
        <v>3</v>
      </c>
      <c r="C5">
        <v>1</v>
      </c>
      <c r="D5" s="2">
        <v>2199.34</v>
      </c>
    </row>
    <row r="6" spans="1:4" x14ac:dyDescent="0.3">
      <c r="A6" t="s">
        <v>18</v>
      </c>
      <c r="B6" t="s">
        <v>3</v>
      </c>
      <c r="C6">
        <v>1</v>
      </c>
      <c r="D6" s="2">
        <v>7762.5</v>
      </c>
    </row>
    <row r="7" spans="1:4" x14ac:dyDescent="0.3">
      <c r="A7" t="s">
        <v>19</v>
      </c>
      <c r="B7" t="s">
        <v>3</v>
      </c>
      <c r="C7">
        <v>1</v>
      </c>
      <c r="D7" s="2">
        <v>5200</v>
      </c>
    </row>
    <row r="8" spans="1:4" x14ac:dyDescent="0.3">
      <c r="A8" t="s">
        <v>20</v>
      </c>
      <c r="B8" t="s">
        <v>3</v>
      </c>
      <c r="C8">
        <v>1</v>
      </c>
      <c r="D8" s="2">
        <v>66807</v>
      </c>
    </row>
    <row r="9" spans="1:4" x14ac:dyDescent="0.3">
      <c r="A9" t="s">
        <v>21</v>
      </c>
      <c r="B9" t="s">
        <v>3</v>
      </c>
      <c r="C9">
        <v>1</v>
      </c>
      <c r="D9" s="2">
        <v>6723.5</v>
      </c>
    </row>
    <row r="10" spans="1:4" x14ac:dyDescent="0.3">
      <c r="A10" t="s">
        <v>22</v>
      </c>
      <c r="B10" t="s">
        <v>3</v>
      </c>
      <c r="C10">
        <v>1</v>
      </c>
      <c r="D10" s="2">
        <v>38626</v>
      </c>
    </row>
    <row r="11" spans="1:4" x14ac:dyDescent="0.3">
      <c r="A11" t="s">
        <v>23</v>
      </c>
      <c r="B11" t="s">
        <v>3</v>
      </c>
      <c r="C11">
        <v>1</v>
      </c>
      <c r="D11" s="2">
        <v>153015.91</v>
      </c>
    </row>
    <row r="12" spans="1:4" x14ac:dyDescent="0.3">
      <c r="A12" t="s">
        <v>24</v>
      </c>
      <c r="B12" t="s">
        <v>3</v>
      </c>
      <c r="C12">
        <v>1</v>
      </c>
      <c r="D12" s="2">
        <v>184296</v>
      </c>
    </row>
    <row r="13" spans="1:4" x14ac:dyDescent="0.3">
      <c r="A13" t="s">
        <v>25</v>
      </c>
      <c r="B13" t="s">
        <v>3</v>
      </c>
      <c r="C13">
        <v>1</v>
      </c>
      <c r="D13" s="2">
        <v>33432</v>
      </c>
    </row>
    <row r="14" spans="1:4" x14ac:dyDescent="0.3">
      <c r="A14" t="s">
        <v>26</v>
      </c>
      <c r="B14" t="s">
        <v>3</v>
      </c>
      <c r="C14">
        <v>1</v>
      </c>
      <c r="D14" s="2">
        <v>4500</v>
      </c>
    </row>
    <row r="15" spans="1:4" x14ac:dyDescent="0.3">
      <c r="A15" t="s">
        <v>27</v>
      </c>
      <c r="B15" t="s">
        <v>3</v>
      </c>
      <c r="C15">
        <v>1</v>
      </c>
      <c r="D15" s="2">
        <v>1000</v>
      </c>
    </row>
    <row r="16" spans="1:4" x14ac:dyDescent="0.3">
      <c r="A16" t="s">
        <v>28</v>
      </c>
      <c r="B16" t="s">
        <v>3</v>
      </c>
      <c r="C16">
        <v>1</v>
      </c>
      <c r="D16" s="2">
        <v>0</v>
      </c>
    </row>
    <row r="17" spans="1:4" x14ac:dyDescent="0.3">
      <c r="A17" t="s">
        <v>29</v>
      </c>
      <c r="B17" t="s">
        <v>3</v>
      </c>
      <c r="C17">
        <v>1</v>
      </c>
      <c r="D17" s="2">
        <v>2199.34</v>
      </c>
    </row>
    <row r="18" spans="1:4" x14ac:dyDescent="0.3">
      <c r="A18" t="s">
        <v>30</v>
      </c>
      <c r="B18" t="s">
        <v>3</v>
      </c>
      <c r="C18">
        <v>1</v>
      </c>
      <c r="D18" s="2">
        <v>53000</v>
      </c>
    </row>
    <row r="19" spans="1:4" x14ac:dyDescent="0.3">
      <c r="A19" t="s">
        <v>31</v>
      </c>
      <c r="B19" t="s">
        <v>3</v>
      </c>
      <c r="C19">
        <v>1</v>
      </c>
      <c r="D19" s="2">
        <v>1000</v>
      </c>
    </row>
    <row r="20" spans="1:4" x14ac:dyDescent="0.3">
      <c r="A20" t="s">
        <v>32</v>
      </c>
      <c r="B20" t="s">
        <v>3</v>
      </c>
      <c r="C20">
        <v>1</v>
      </c>
      <c r="D20" s="2">
        <v>6120</v>
      </c>
    </row>
    <row r="21" spans="1:4" x14ac:dyDescent="0.3">
      <c r="A21" t="s">
        <v>33</v>
      </c>
      <c r="B21" t="s">
        <v>3</v>
      </c>
      <c r="C21">
        <v>1</v>
      </c>
      <c r="D21" s="2">
        <v>1417.4082000000001</v>
      </c>
    </row>
    <row r="22" spans="1:4" x14ac:dyDescent="0.3">
      <c r="A22" t="s">
        <v>34</v>
      </c>
      <c r="B22" t="s">
        <v>3</v>
      </c>
      <c r="C22">
        <v>1</v>
      </c>
      <c r="D22" s="2">
        <v>3598.0362</v>
      </c>
    </row>
    <row r="23" spans="1:4" x14ac:dyDescent="0.3">
      <c r="A23" t="s">
        <v>35</v>
      </c>
      <c r="B23" t="s">
        <v>3</v>
      </c>
      <c r="C23">
        <v>1</v>
      </c>
      <c r="D23" s="2">
        <v>1635.471</v>
      </c>
    </row>
    <row r="24" spans="1:4" x14ac:dyDescent="0.3">
      <c r="A24" t="s">
        <v>36</v>
      </c>
      <c r="B24" t="s">
        <v>3</v>
      </c>
      <c r="C24">
        <v>1</v>
      </c>
      <c r="D24" s="2">
        <v>1962.5652</v>
      </c>
    </row>
    <row r="25" spans="1:4" x14ac:dyDescent="0.3">
      <c r="A25" t="s">
        <v>37</v>
      </c>
      <c r="B25" t="s">
        <v>3</v>
      </c>
      <c r="C25">
        <v>1</v>
      </c>
      <c r="D25" s="2">
        <v>2289.6594</v>
      </c>
    </row>
    <row r="26" spans="1:4" x14ac:dyDescent="0.3">
      <c r="A26" t="s">
        <v>38</v>
      </c>
      <c r="B26" t="s">
        <v>3</v>
      </c>
      <c r="C26">
        <v>1</v>
      </c>
      <c r="D26" s="2">
        <v>10903.14</v>
      </c>
    </row>
    <row r="27" spans="1:4" x14ac:dyDescent="0.3">
      <c r="A27" t="s">
        <v>39</v>
      </c>
      <c r="B27" t="s">
        <v>3</v>
      </c>
      <c r="C27">
        <v>1</v>
      </c>
      <c r="D27" s="2">
        <v>107254.08</v>
      </c>
    </row>
    <row r="28" spans="1:4" x14ac:dyDescent="0.3">
      <c r="A28" t="s">
        <v>40</v>
      </c>
      <c r="B28" t="s">
        <v>3</v>
      </c>
      <c r="C28">
        <v>1</v>
      </c>
      <c r="D28" s="2">
        <v>3686.3928000000001</v>
      </c>
    </row>
    <row r="29" spans="1:4" x14ac:dyDescent="0.3">
      <c r="A29" t="s">
        <v>41</v>
      </c>
      <c r="B29" t="s">
        <v>3</v>
      </c>
      <c r="C29">
        <v>1</v>
      </c>
      <c r="D29" s="2">
        <v>1500</v>
      </c>
    </row>
    <row r="30" spans="1:4" x14ac:dyDescent="0.3">
      <c r="A30" t="s">
        <v>42</v>
      </c>
      <c r="B30" t="s">
        <v>3</v>
      </c>
      <c r="C30">
        <v>1</v>
      </c>
      <c r="D30" s="2">
        <v>0</v>
      </c>
    </row>
    <row r="31" spans="1:4" x14ac:dyDescent="0.3">
      <c r="A31" t="s">
        <v>44</v>
      </c>
      <c r="B31" t="s">
        <v>3</v>
      </c>
      <c r="C31">
        <v>1</v>
      </c>
      <c r="D31" s="2">
        <v>3686.3928000000001</v>
      </c>
    </row>
    <row r="32" spans="1:4" x14ac:dyDescent="0.3">
      <c r="A32" t="s">
        <v>43</v>
      </c>
      <c r="B32" t="s">
        <v>3</v>
      </c>
      <c r="C32">
        <v>1</v>
      </c>
      <c r="D32" s="2">
        <v>2800</v>
      </c>
    </row>
    <row r="33" spans="1:4" x14ac:dyDescent="0.3">
      <c r="A33" t="str">
        <f>A4</f>
        <v>Austria</v>
      </c>
      <c r="B33" t="str">
        <f>B4</f>
        <v>Hydro Pump Storage</v>
      </c>
      <c r="C33">
        <f>C4+1</f>
        <v>2</v>
      </c>
      <c r="D33" s="1">
        <v>124704</v>
      </c>
    </row>
    <row r="34" spans="1:4" x14ac:dyDescent="0.3">
      <c r="A34" t="str">
        <f t="shared" ref="A34:B34" si="0">A5</f>
        <v>Bosnia H</v>
      </c>
      <c r="B34" t="str">
        <f t="shared" si="0"/>
        <v>Hydro Pump Storage</v>
      </c>
      <c r="C34">
        <f t="shared" ref="C34:C97" si="1">C5+1</f>
        <v>2</v>
      </c>
      <c r="D34" s="1">
        <v>2199.34</v>
      </c>
    </row>
    <row r="35" spans="1:4" x14ac:dyDescent="0.3">
      <c r="A35" t="str">
        <f t="shared" ref="A35:B35" si="2">A6</f>
        <v>Belgium</v>
      </c>
      <c r="B35" t="str">
        <f t="shared" si="2"/>
        <v>Hydro Pump Storage</v>
      </c>
      <c r="C35">
        <f t="shared" si="1"/>
        <v>2</v>
      </c>
      <c r="D35" s="1">
        <v>7762.5</v>
      </c>
    </row>
    <row r="36" spans="1:4" x14ac:dyDescent="0.3">
      <c r="A36" t="str">
        <f t="shared" ref="A36:B36" si="3">A7</f>
        <v>Bulgaria</v>
      </c>
      <c r="B36" t="str">
        <f t="shared" si="3"/>
        <v>Hydro Pump Storage</v>
      </c>
      <c r="C36">
        <f t="shared" si="1"/>
        <v>2</v>
      </c>
      <c r="D36" s="1">
        <v>5200</v>
      </c>
    </row>
    <row r="37" spans="1:4" x14ac:dyDescent="0.3">
      <c r="A37" t="str">
        <f t="shared" ref="A37:B37" si="4">A8</f>
        <v>Switzerland</v>
      </c>
      <c r="B37" t="str">
        <f t="shared" si="4"/>
        <v>Hydro Pump Storage</v>
      </c>
      <c r="C37">
        <f t="shared" si="1"/>
        <v>2</v>
      </c>
      <c r="D37" s="1">
        <v>66807</v>
      </c>
    </row>
    <row r="38" spans="1:4" x14ac:dyDescent="0.3">
      <c r="A38" t="str">
        <f t="shared" ref="A38:B38" si="5">A9</f>
        <v>Czech R</v>
      </c>
      <c r="B38" t="str">
        <f t="shared" si="5"/>
        <v>Hydro Pump Storage</v>
      </c>
      <c r="C38">
        <f t="shared" si="1"/>
        <v>2</v>
      </c>
      <c r="D38" s="1">
        <v>6723.5</v>
      </c>
    </row>
    <row r="39" spans="1:4" x14ac:dyDescent="0.3">
      <c r="A39" t="str">
        <f t="shared" ref="A39:B39" si="6">A10</f>
        <v>Germany</v>
      </c>
      <c r="B39" t="str">
        <f t="shared" si="6"/>
        <v>Hydro Pump Storage</v>
      </c>
      <c r="C39">
        <f t="shared" si="1"/>
        <v>2</v>
      </c>
      <c r="D39" s="1">
        <v>38626</v>
      </c>
    </row>
    <row r="40" spans="1:4" x14ac:dyDescent="0.3">
      <c r="A40" t="str">
        <f t="shared" ref="A40:B40" si="7">A11</f>
        <v>Spain</v>
      </c>
      <c r="B40" t="str">
        <f t="shared" si="7"/>
        <v>Hydro Pump Storage</v>
      </c>
      <c r="C40">
        <f t="shared" si="1"/>
        <v>2</v>
      </c>
      <c r="D40" s="1">
        <v>153015.91</v>
      </c>
    </row>
    <row r="41" spans="1:4" x14ac:dyDescent="0.3">
      <c r="A41" t="str">
        <f t="shared" ref="A41:B41" si="8">A12</f>
        <v>France</v>
      </c>
      <c r="B41" t="str">
        <f t="shared" si="8"/>
        <v>Hydro Pump Storage</v>
      </c>
      <c r="C41">
        <f t="shared" si="1"/>
        <v>2</v>
      </c>
      <c r="D41" s="1">
        <v>184296</v>
      </c>
    </row>
    <row r="42" spans="1:4" x14ac:dyDescent="0.3">
      <c r="A42" t="str">
        <f t="shared" ref="A42:B42" si="9">A13</f>
        <v>Great Brit.</v>
      </c>
      <c r="B42" t="str">
        <f t="shared" si="9"/>
        <v>Hydro Pump Storage</v>
      </c>
      <c r="C42">
        <f t="shared" si="1"/>
        <v>2</v>
      </c>
      <c r="D42" s="1">
        <v>33432</v>
      </c>
    </row>
    <row r="43" spans="1:4" x14ac:dyDescent="0.3">
      <c r="A43" t="str">
        <f t="shared" ref="A43:B43" si="10">A14</f>
        <v>Greece</v>
      </c>
      <c r="B43" t="str">
        <f t="shared" si="10"/>
        <v>Hydro Pump Storage</v>
      </c>
      <c r="C43">
        <f t="shared" si="1"/>
        <v>2</v>
      </c>
      <c r="D43" s="1">
        <v>4500</v>
      </c>
    </row>
    <row r="44" spans="1:4" x14ac:dyDescent="0.3">
      <c r="A44" t="str">
        <f t="shared" ref="A44:B44" si="11">A15</f>
        <v>Croatia</v>
      </c>
      <c r="B44" t="str">
        <f t="shared" si="11"/>
        <v>Hydro Pump Storage</v>
      </c>
      <c r="C44">
        <f t="shared" si="1"/>
        <v>2</v>
      </c>
      <c r="D44" s="1">
        <v>1000</v>
      </c>
    </row>
    <row r="45" spans="1:4" x14ac:dyDescent="0.3">
      <c r="A45" t="str">
        <f t="shared" ref="A45:B45" si="12">A16</f>
        <v>Hungary</v>
      </c>
      <c r="B45" t="str">
        <f t="shared" si="12"/>
        <v>Hydro Pump Storage</v>
      </c>
      <c r="C45">
        <f t="shared" si="1"/>
        <v>2</v>
      </c>
      <c r="D45" s="1">
        <v>0</v>
      </c>
    </row>
    <row r="46" spans="1:4" x14ac:dyDescent="0.3">
      <c r="A46" t="str">
        <f t="shared" ref="A46:B46" si="13">A17</f>
        <v>Ireland</v>
      </c>
      <c r="B46" t="str">
        <f t="shared" si="13"/>
        <v>Hydro Pump Storage</v>
      </c>
      <c r="C46">
        <f t="shared" si="1"/>
        <v>2</v>
      </c>
      <c r="D46" s="1">
        <v>2199.34</v>
      </c>
    </row>
    <row r="47" spans="1:4" x14ac:dyDescent="0.3">
      <c r="A47" t="str">
        <f t="shared" ref="A47:B47" si="14">A18</f>
        <v>Italy</v>
      </c>
      <c r="B47" t="str">
        <f t="shared" si="14"/>
        <v>Hydro Pump Storage</v>
      </c>
      <c r="C47">
        <f t="shared" si="1"/>
        <v>2</v>
      </c>
      <c r="D47" s="1">
        <v>53000</v>
      </c>
    </row>
    <row r="48" spans="1:4" x14ac:dyDescent="0.3">
      <c r="A48" t="str">
        <f t="shared" ref="A48:B48" si="15">A19</f>
        <v>Lithuania</v>
      </c>
      <c r="B48" t="str">
        <f t="shared" si="15"/>
        <v>Hydro Pump Storage</v>
      </c>
      <c r="C48">
        <f t="shared" si="1"/>
        <v>2</v>
      </c>
      <c r="D48" s="1">
        <v>1000</v>
      </c>
    </row>
    <row r="49" spans="1:4" x14ac:dyDescent="0.3">
      <c r="A49" t="str">
        <f t="shared" ref="A49:B49" si="16">A20</f>
        <v>Luxemb.</v>
      </c>
      <c r="B49" t="str">
        <f t="shared" si="16"/>
        <v>Hydro Pump Storage</v>
      </c>
      <c r="C49">
        <f t="shared" si="1"/>
        <v>2</v>
      </c>
      <c r="D49" s="1">
        <v>6120</v>
      </c>
    </row>
    <row r="50" spans="1:4" x14ac:dyDescent="0.3">
      <c r="A50" t="str">
        <f t="shared" ref="A50:B50" si="17">A21</f>
        <v>NO1</v>
      </c>
      <c r="B50" t="str">
        <f t="shared" si="17"/>
        <v>Hydro Pump Storage</v>
      </c>
      <c r="C50">
        <f t="shared" si="1"/>
        <v>2</v>
      </c>
      <c r="D50" s="1">
        <v>1417.4082000000001</v>
      </c>
    </row>
    <row r="51" spans="1:4" x14ac:dyDescent="0.3">
      <c r="A51" t="str">
        <f t="shared" ref="A51:B51" si="18">A22</f>
        <v>NO2</v>
      </c>
      <c r="B51" t="str">
        <f t="shared" si="18"/>
        <v>Hydro Pump Storage</v>
      </c>
      <c r="C51">
        <f t="shared" si="1"/>
        <v>2</v>
      </c>
      <c r="D51" s="1">
        <v>3598.0362</v>
      </c>
    </row>
    <row r="52" spans="1:4" x14ac:dyDescent="0.3">
      <c r="A52" t="str">
        <f t="shared" ref="A52:B52" si="19">A23</f>
        <v>NO3</v>
      </c>
      <c r="B52" t="str">
        <f t="shared" si="19"/>
        <v>Hydro Pump Storage</v>
      </c>
      <c r="C52">
        <f t="shared" si="1"/>
        <v>2</v>
      </c>
      <c r="D52" s="1">
        <v>1635.471</v>
      </c>
    </row>
    <row r="53" spans="1:4" x14ac:dyDescent="0.3">
      <c r="A53" t="str">
        <f t="shared" ref="A53:B53" si="20">A24</f>
        <v>NO4</v>
      </c>
      <c r="B53" t="str">
        <f t="shared" si="20"/>
        <v>Hydro Pump Storage</v>
      </c>
      <c r="C53">
        <f t="shared" si="1"/>
        <v>2</v>
      </c>
      <c r="D53" s="1">
        <v>1962.5652</v>
      </c>
    </row>
    <row r="54" spans="1:4" x14ac:dyDescent="0.3">
      <c r="A54" t="str">
        <f t="shared" ref="A54:B54" si="21">A25</f>
        <v>NO5</v>
      </c>
      <c r="B54" t="str">
        <f t="shared" si="21"/>
        <v>Hydro Pump Storage</v>
      </c>
      <c r="C54">
        <f t="shared" si="1"/>
        <v>2</v>
      </c>
      <c r="D54" s="1">
        <v>2289.6594</v>
      </c>
    </row>
    <row r="55" spans="1:4" x14ac:dyDescent="0.3">
      <c r="A55" t="str">
        <f t="shared" ref="A55:B55" si="22">A26</f>
        <v>Poland</v>
      </c>
      <c r="B55" t="str">
        <f t="shared" si="22"/>
        <v>Hydro Pump Storage</v>
      </c>
      <c r="C55">
        <f t="shared" si="1"/>
        <v>2</v>
      </c>
      <c r="D55" s="1">
        <v>10903.14</v>
      </c>
    </row>
    <row r="56" spans="1:4" x14ac:dyDescent="0.3">
      <c r="A56" t="str">
        <f t="shared" ref="A56:B56" si="23">A27</f>
        <v>Portugal</v>
      </c>
      <c r="B56" t="str">
        <f t="shared" si="23"/>
        <v>Hydro Pump Storage</v>
      </c>
      <c r="C56">
        <f t="shared" si="1"/>
        <v>2</v>
      </c>
      <c r="D56" s="1">
        <v>107254.08</v>
      </c>
    </row>
    <row r="57" spans="1:4" x14ac:dyDescent="0.3">
      <c r="A57" t="str">
        <f t="shared" ref="A57:B57" si="24">A28</f>
        <v>Romania</v>
      </c>
      <c r="B57" t="str">
        <f t="shared" si="24"/>
        <v>Hydro Pump Storage</v>
      </c>
      <c r="C57">
        <f t="shared" si="1"/>
        <v>2</v>
      </c>
      <c r="D57" s="1">
        <v>3686.3928000000001</v>
      </c>
    </row>
    <row r="58" spans="1:4" x14ac:dyDescent="0.3">
      <c r="A58" t="str">
        <f t="shared" ref="A58:B58" si="25">A29</f>
        <v>Serbia</v>
      </c>
      <c r="B58" t="str">
        <f t="shared" si="25"/>
        <v>Hydro Pump Storage</v>
      </c>
      <c r="C58">
        <f t="shared" si="1"/>
        <v>2</v>
      </c>
      <c r="D58" s="1">
        <v>1500</v>
      </c>
    </row>
    <row r="59" spans="1:4" x14ac:dyDescent="0.3">
      <c r="A59" t="str">
        <f t="shared" ref="A59:B59" si="26">A30</f>
        <v>Sweden</v>
      </c>
      <c r="B59" t="str">
        <f t="shared" si="26"/>
        <v>Hydro Pump Storage</v>
      </c>
      <c r="C59">
        <f t="shared" si="1"/>
        <v>2</v>
      </c>
      <c r="D59" s="1">
        <v>0</v>
      </c>
    </row>
    <row r="60" spans="1:4" x14ac:dyDescent="0.3">
      <c r="A60" t="str">
        <f t="shared" ref="A60:B60" si="27">A31</f>
        <v>Slovakia</v>
      </c>
      <c r="B60" t="str">
        <f t="shared" si="27"/>
        <v>Hydro Pump Storage</v>
      </c>
      <c r="C60">
        <f t="shared" si="1"/>
        <v>2</v>
      </c>
      <c r="D60" s="1">
        <v>3686.3928000000001</v>
      </c>
    </row>
    <row r="61" spans="1:4" x14ac:dyDescent="0.3">
      <c r="A61" t="str">
        <f t="shared" ref="A61:B61" si="28">A32</f>
        <v>Slovenia</v>
      </c>
      <c r="B61" t="str">
        <f t="shared" si="28"/>
        <v>Hydro Pump Storage</v>
      </c>
      <c r="C61">
        <f t="shared" si="1"/>
        <v>2</v>
      </c>
      <c r="D61" s="1">
        <v>2800</v>
      </c>
    </row>
    <row r="62" spans="1:4" x14ac:dyDescent="0.3">
      <c r="A62" t="str">
        <f t="shared" ref="A62:B62" si="29">A33</f>
        <v>Austria</v>
      </c>
      <c r="B62" t="str">
        <f t="shared" si="29"/>
        <v>Hydro Pump Storage</v>
      </c>
      <c r="C62">
        <f t="shared" si="1"/>
        <v>3</v>
      </c>
      <c r="D62" s="1">
        <v>124704</v>
      </c>
    </row>
    <row r="63" spans="1:4" x14ac:dyDescent="0.3">
      <c r="A63" t="str">
        <f t="shared" ref="A63:B63" si="30">A34</f>
        <v>Bosnia H</v>
      </c>
      <c r="B63" t="str">
        <f t="shared" si="30"/>
        <v>Hydro Pump Storage</v>
      </c>
      <c r="C63">
        <f t="shared" si="1"/>
        <v>3</v>
      </c>
      <c r="D63" s="1">
        <v>2199.34</v>
      </c>
    </row>
    <row r="64" spans="1:4" x14ac:dyDescent="0.3">
      <c r="A64" t="str">
        <f t="shared" ref="A64:B64" si="31">A35</f>
        <v>Belgium</v>
      </c>
      <c r="B64" t="str">
        <f t="shared" si="31"/>
        <v>Hydro Pump Storage</v>
      </c>
      <c r="C64">
        <f t="shared" si="1"/>
        <v>3</v>
      </c>
      <c r="D64" s="1">
        <v>7762.5</v>
      </c>
    </row>
    <row r="65" spans="1:4" x14ac:dyDescent="0.3">
      <c r="A65" t="str">
        <f t="shared" ref="A65:B65" si="32">A36</f>
        <v>Bulgaria</v>
      </c>
      <c r="B65" t="str">
        <f t="shared" si="32"/>
        <v>Hydro Pump Storage</v>
      </c>
      <c r="C65">
        <f t="shared" si="1"/>
        <v>3</v>
      </c>
      <c r="D65" s="1">
        <v>5200</v>
      </c>
    </row>
    <row r="66" spans="1:4" x14ac:dyDescent="0.3">
      <c r="A66" t="str">
        <f t="shared" ref="A66:B66" si="33">A37</f>
        <v>Switzerland</v>
      </c>
      <c r="B66" t="str">
        <f t="shared" si="33"/>
        <v>Hydro Pump Storage</v>
      </c>
      <c r="C66">
        <f t="shared" si="1"/>
        <v>3</v>
      </c>
      <c r="D66" s="1">
        <v>66807</v>
      </c>
    </row>
    <row r="67" spans="1:4" x14ac:dyDescent="0.3">
      <c r="A67" t="str">
        <f t="shared" ref="A67:B67" si="34">A38</f>
        <v>Czech R</v>
      </c>
      <c r="B67" t="str">
        <f t="shared" si="34"/>
        <v>Hydro Pump Storage</v>
      </c>
      <c r="C67">
        <f t="shared" si="1"/>
        <v>3</v>
      </c>
      <c r="D67" s="1">
        <v>6723.5</v>
      </c>
    </row>
    <row r="68" spans="1:4" x14ac:dyDescent="0.3">
      <c r="A68" t="str">
        <f t="shared" ref="A68:B68" si="35">A39</f>
        <v>Germany</v>
      </c>
      <c r="B68" t="str">
        <f t="shared" si="35"/>
        <v>Hydro Pump Storage</v>
      </c>
      <c r="C68">
        <f t="shared" si="1"/>
        <v>3</v>
      </c>
      <c r="D68" s="1">
        <v>38626</v>
      </c>
    </row>
    <row r="69" spans="1:4" x14ac:dyDescent="0.3">
      <c r="A69" t="str">
        <f t="shared" ref="A69:B69" si="36">A40</f>
        <v>Spain</v>
      </c>
      <c r="B69" t="str">
        <f t="shared" si="36"/>
        <v>Hydro Pump Storage</v>
      </c>
      <c r="C69">
        <f t="shared" si="1"/>
        <v>3</v>
      </c>
      <c r="D69" s="1">
        <v>153015.91</v>
      </c>
    </row>
    <row r="70" spans="1:4" x14ac:dyDescent="0.3">
      <c r="A70" t="str">
        <f t="shared" ref="A70:B70" si="37">A41</f>
        <v>France</v>
      </c>
      <c r="B70" t="str">
        <f t="shared" si="37"/>
        <v>Hydro Pump Storage</v>
      </c>
      <c r="C70">
        <f t="shared" si="1"/>
        <v>3</v>
      </c>
      <c r="D70" s="1">
        <v>184296</v>
      </c>
    </row>
    <row r="71" spans="1:4" x14ac:dyDescent="0.3">
      <c r="A71" t="str">
        <f t="shared" ref="A71:B71" si="38">A42</f>
        <v>Great Brit.</v>
      </c>
      <c r="B71" t="str">
        <f t="shared" si="38"/>
        <v>Hydro Pump Storage</v>
      </c>
      <c r="C71">
        <f t="shared" si="1"/>
        <v>3</v>
      </c>
      <c r="D71" s="1">
        <v>33432</v>
      </c>
    </row>
    <row r="72" spans="1:4" x14ac:dyDescent="0.3">
      <c r="A72" t="str">
        <f t="shared" ref="A72:B72" si="39">A43</f>
        <v>Greece</v>
      </c>
      <c r="B72" t="str">
        <f t="shared" si="39"/>
        <v>Hydro Pump Storage</v>
      </c>
      <c r="C72">
        <f t="shared" si="1"/>
        <v>3</v>
      </c>
      <c r="D72" s="1">
        <v>4500</v>
      </c>
    </row>
    <row r="73" spans="1:4" x14ac:dyDescent="0.3">
      <c r="A73" t="str">
        <f t="shared" ref="A73:B73" si="40">A44</f>
        <v>Croatia</v>
      </c>
      <c r="B73" t="str">
        <f t="shared" si="40"/>
        <v>Hydro Pump Storage</v>
      </c>
      <c r="C73">
        <f t="shared" si="1"/>
        <v>3</v>
      </c>
      <c r="D73" s="1">
        <v>1000</v>
      </c>
    </row>
    <row r="74" spans="1:4" x14ac:dyDescent="0.3">
      <c r="A74" t="str">
        <f t="shared" ref="A74:B74" si="41">A45</f>
        <v>Hungary</v>
      </c>
      <c r="B74" t="str">
        <f t="shared" si="41"/>
        <v>Hydro Pump Storage</v>
      </c>
      <c r="C74">
        <f t="shared" si="1"/>
        <v>3</v>
      </c>
      <c r="D74" s="1">
        <v>0</v>
      </c>
    </row>
    <row r="75" spans="1:4" x14ac:dyDescent="0.3">
      <c r="A75" t="str">
        <f t="shared" ref="A75:B75" si="42">A46</f>
        <v>Ireland</v>
      </c>
      <c r="B75" t="str">
        <f t="shared" si="42"/>
        <v>Hydro Pump Storage</v>
      </c>
      <c r="C75">
        <f t="shared" si="1"/>
        <v>3</v>
      </c>
      <c r="D75" s="1">
        <v>2199.34</v>
      </c>
    </row>
    <row r="76" spans="1:4" x14ac:dyDescent="0.3">
      <c r="A76" t="str">
        <f t="shared" ref="A76:B76" si="43">A47</f>
        <v>Italy</v>
      </c>
      <c r="B76" t="str">
        <f t="shared" si="43"/>
        <v>Hydro Pump Storage</v>
      </c>
      <c r="C76">
        <f t="shared" si="1"/>
        <v>3</v>
      </c>
      <c r="D76" s="1">
        <v>53000</v>
      </c>
    </row>
    <row r="77" spans="1:4" x14ac:dyDescent="0.3">
      <c r="A77" t="str">
        <f t="shared" ref="A77:B77" si="44">A48</f>
        <v>Lithuania</v>
      </c>
      <c r="B77" t="str">
        <f t="shared" si="44"/>
        <v>Hydro Pump Storage</v>
      </c>
      <c r="C77">
        <f t="shared" si="1"/>
        <v>3</v>
      </c>
      <c r="D77" s="1">
        <v>1000</v>
      </c>
    </row>
    <row r="78" spans="1:4" x14ac:dyDescent="0.3">
      <c r="A78" t="str">
        <f t="shared" ref="A78:B78" si="45">A49</f>
        <v>Luxemb.</v>
      </c>
      <c r="B78" t="str">
        <f t="shared" si="45"/>
        <v>Hydro Pump Storage</v>
      </c>
      <c r="C78">
        <f t="shared" si="1"/>
        <v>3</v>
      </c>
      <c r="D78" s="1">
        <v>6120</v>
      </c>
    </row>
    <row r="79" spans="1:4" x14ac:dyDescent="0.3">
      <c r="A79" t="str">
        <f t="shared" ref="A79:B79" si="46">A50</f>
        <v>NO1</v>
      </c>
      <c r="B79" t="str">
        <f t="shared" si="46"/>
        <v>Hydro Pump Storage</v>
      </c>
      <c r="C79">
        <f t="shared" si="1"/>
        <v>3</v>
      </c>
      <c r="D79" s="1">
        <v>1417.4082000000001</v>
      </c>
    </row>
    <row r="80" spans="1:4" x14ac:dyDescent="0.3">
      <c r="A80" t="str">
        <f t="shared" ref="A80:B80" si="47">A51</f>
        <v>NO2</v>
      </c>
      <c r="B80" t="str">
        <f t="shared" si="47"/>
        <v>Hydro Pump Storage</v>
      </c>
      <c r="C80">
        <f t="shared" si="1"/>
        <v>3</v>
      </c>
      <c r="D80" s="1">
        <v>3598.0362</v>
      </c>
    </row>
    <row r="81" spans="1:4" x14ac:dyDescent="0.3">
      <c r="A81" t="str">
        <f t="shared" ref="A81:B81" si="48">A52</f>
        <v>NO3</v>
      </c>
      <c r="B81" t="str">
        <f t="shared" si="48"/>
        <v>Hydro Pump Storage</v>
      </c>
      <c r="C81">
        <f t="shared" si="1"/>
        <v>3</v>
      </c>
      <c r="D81" s="1">
        <v>1635.471</v>
      </c>
    </row>
    <row r="82" spans="1:4" x14ac:dyDescent="0.3">
      <c r="A82" t="str">
        <f t="shared" ref="A82:B82" si="49">A53</f>
        <v>NO4</v>
      </c>
      <c r="B82" t="str">
        <f t="shared" si="49"/>
        <v>Hydro Pump Storage</v>
      </c>
      <c r="C82">
        <f t="shared" si="1"/>
        <v>3</v>
      </c>
      <c r="D82" s="1">
        <v>1962.5652</v>
      </c>
    </row>
    <row r="83" spans="1:4" x14ac:dyDescent="0.3">
      <c r="A83" t="str">
        <f t="shared" ref="A83:B83" si="50">A54</f>
        <v>NO5</v>
      </c>
      <c r="B83" t="str">
        <f t="shared" si="50"/>
        <v>Hydro Pump Storage</v>
      </c>
      <c r="C83">
        <f t="shared" si="1"/>
        <v>3</v>
      </c>
      <c r="D83" s="1">
        <v>2289.6594</v>
      </c>
    </row>
    <row r="84" spans="1:4" x14ac:dyDescent="0.3">
      <c r="A84" t="str">
        <f t="shared" ref="A84:B84" si="51">A55</f>
        <v>Poland</v>
      </c>
      <c r="B84" t="str">
        <f t="shared" si="51"/>
        <v>Hydro Pump Storage</v>
      </c>
      <c r="C84">
        <f t="shared" si="1"/>
        <v>3</v>
      </c>
      <c r="D84" s="1">
        <v>10903.14</v>
      </c>
    </row>
    <row r="85" spans="1:4" x14ac:dyDescent="0.3">
      <c r="A85" t="str">
        <f t="shared" ref="A85:B85" si="52">A56</f>
        <v>Portugal</v>
      </c>
      <c r="B85" t="str">
        <f t="shared" si="52"/>
        <v>Hydro Pump Storage</v>
      </c>
      <c r="C85">
        <f t="shared" si="1"/>
        <v>3</v>
      </c>
      <c r="D85" s="1">
        <v>107254.08</v>
      </c>
    </row>
    <row r="86" spans="1:4" x14ac:dyDescent="0.3">
      <c r="A86" t="str">
        <f t="shared" ref="A86:B86" si="53">A57</f>
        <v>Romania</v>
      </c>
      <c r="B86" t="str">
        <f t="shared" si="53"/>
        <v>Hydro Pump Storage</v>
      </c>
      <c r="C86">
        <f t="shared" si="1"/>
        <v>3</v>
      </c>
      <c r="D86" s="1">
        <v>3686.3928000000001</v>
      </c>
    </row>
    <row r="87" spans="1:4" x14ac:dyDescent="0.3">
      <c r="A87" t="str">
        <f t="shared" ref="A87:B87" si="54">A58</f>
        <v>Serbia</v>
      </c>
      <c r="B87" t="str">
        <f t="shared" si="54"/>
        <v>Hydro Pump Storage</v>
      </c>
      <c r="C87">
        <f t="shared" si="1"/>
        <v>3</v>
      </c>
      <c r="D87" s="1">
        <v>1500</v>
      </c>
    </row>
    <row r="88" spans="1:4" x14ac:dyDescent="0.3">
      <c r="A88" t="str">
        <f t="shared" ref="A88:B88" si="55">A59</f>
        <v>Sweden</v>
      </c>
      <c r="B88" t="str">
        <f t="shared" si="55"/>
        <v>Hydro Pump Storage</v>
      </c>
      <c r="C88">
        <f t="shared" si="1"/>
        <v>3</v>
      </c>
      <c r="D88" s="1">
        <v>0</v>
      </c>
    </row>
    <row r="89" spans="1:4" x14ac:dyDescent="0.3">
      <c r="A89" t="str">
        <f t="shared" ref="A89:B89" si="56">A60</f>
        <v>Slovakia</v>
      </c>
      <c r="B89" t="str">
        <f t="shared" si="56"/>
        <v>Hydro Pump Storage</v>
      </c>
      <c r="C89">
        <f t="shared" si="1"/>
        <v>3</v>
      </c>
      <c r="D89" s="1">
        <v>3686.3928000000001</v>
      </c>
    </row>
    <row r="90" spans="1:4" x14ac:dyDescent="0.3">
      <c r="A90" t="str">
        <f t="shared" ref="A90:B90" si="57">A61</f>
        <v>Slovenia</v>
      </c>
      <c r="B90" t="str">
        <f t="shared" si="57"/>
        <v>Hydro Pump Storage</v>
      </c>
      <c r="C90">
        <f t="shared" si="1"/>
        <v>3</v>
      </c>
      <c r="D90" s="1">
        <v>2800</v>
      </c>
    </row>
    <row r="91" spans="1:4" x14ac:dyDescent="0.3">
      <c r="A91" t="str">
        <f t="shared" ref="A91:B91" si="58">A62</f>
        <v>Austria</v>
      </c>
      <c r="B91" t="str">
        <f t="shared" si="58"/>
        <v>Hydro Pump Storage</v>
      </c>
      <c r="C91">
        <f t="shared" si="1"/>
        <v>4</v>
      </c>
      <c r="D91" s="1">
        <v>124704</v>
      </c>
    </row>
    <row r="92" spans="1:4" x14ac:dyDescent="0.3">
      <c r="A92" t="str">
        <f t="shared" ref="A92:B92" si="59">A63</f>
        <v>Bosnia H</v>
      </c>
      <c r="B92" t="str">
        <f t="shared" si="59"/>
        <v>Hydro Pump Storage</v>
      </c>
      <c r="C92">
        <f t="shared" si="1"/>
        <v>4</v>
      </c>
      <c r="D92" s="1">
        <v>2199.34</v>
      </c>
    </row>
    <row r="93" spans="1:4" x14ac:dyDescent="0.3">
      <c r="A93" t="str">
        <f t="shared" ref="A93:B93" si="60">A64</f>
        <v>Belgium</v>
      </c>
      <c r="B93" t="str">
        <f t="shared" si="60"/>
        <v>Hydro Pump Storage</v>
      </c>
      <c r="C93">
        <f t="shared" si="1"/>
        <v>4</v>
      </c>
      <c r="D93" s="1">
        <v>7762.5</v>
      </c>
    </row>
    <row r="94" spans="1:4" x14ac:dyDescent="0.3">
      <c r="A94" t="str">
        <f t="shared" ref="A94:B94" si="61">A65</f>
        <v>Bulgaria</v>
      </c>
      <c r="B94" t="str">
        <f t="shared" si="61"/>
        <v>Hydro Pump Storage</v>
      </c>
      <c r="C94">
        <f t="shared" si="1"/>
        <v>4</v>
      </c>
      <c r="D94" s="1">
        <v>5200</v>
      </c>
    </row>
    <row r="95" spans="1:4" x14ac:dyDescent="0.3">
      <c r="A95" t="str">
        <f t="shared" ref="A95:B95" si="62">A66</f>
        <v>Switzerland</v>
      </c>
      <c r="B95" t="str">
        <f t="shared" si="62"/>
        <v>Hydro Pump Storage</v>
      </c>
      <c r="C95">
        <f t="shared" si="1"/>
        <v>4</v>
      </c>
      <c r="D95" s="1">
        <v>66807</v>
      </c>
    </row>
    <row r="96" spans="1:4" x14ac:dyDescent="0.3">
      <c r="A96" t="str">
        <f t="shared" ref="A96:B96" si="63">A67</f>
        <v>Czech R</v>
      </c>
      <c r="B96" t="str">
        <f t="shared" si="63"/>
        <v>Hydro Pump Storage</v>
      </c>
      <c r="C96">
        <f t="shared" si="1"/>
        <v>4</v>
      </c>
      <c r="D96" s="1">
        <v>6723.5</v>
      </c>
    </row>
    <row r="97" spans="1:4" x14ac:dyDescent="0.3">
      <c r="A97" t="str">
        <f t="shared" ref="A97:B97" si="64">A68</f>
        <v>Germany</v>
      </c>
      <c r="B97" t="str">
        <f t="shared" si="64"/>
        <v>Hydro Pump Storage</v>
      </c>
      <c r="C97">
        <f t="shared" si="1"/>
        <v>4</v>
      </c>
      <c r="D97" s="1">
        <v>38626</v>
      </c>
    </row>
    <row r="98" spans="1:4" x14ac:dyDescent="0.3">
      <c r="A98" t="str">
        <f t="shared" ref="A98:B98" si="65">A69</f>
        <v>Spain</v>
      </c>
      <c r="B98" t="str">
        <f t="shared" si="65"/>
        <v>Hydro Pump Storage</v>
      </c>
      <c r="C98">
        <f t="shared" ref="C98:C161" si="66">C69+1</f>
        <v>4</v>
      </c>
      <c r="D98" s="1">
        <v>153015.91</v>
      </c>
    </row>
    <row r="99" spans="1:4" x14ac:dyDescent="0.3">
      <c r="A99" t="str">
        <f t="shared" ref="A99:B99" si="67">A70</f>
        <v>France</v>
      </c>
      <c r="B99" t="str">
        <f t="shared" si="67"/>
        <v>Hydro Pump Storage</v>
      </c>
      <c r="C99">
        <f t="shared" si="66"/>
        <v>4</v>
      </c>
      <c r="D99" s="1">
        <v>184296</v>
      </c>
    </row>
    <row r="100" spans="1:4" x14ac:dyDescent="0.3">
      <c r="A100" t="str">
        <f t="shared" ref="A100:B100" si="68">A71</f>
        <v>Great Brit.</v>
      </c>
      <c r="B100" t="str">
        <f t="shared" si="68"/>
        <v>Hydro Pump Storage</v>
      </c>
      <c r="C100">
        <f t="shared" si="66"/>
        <v>4</v>
      </c>
      <c r="D100" s="1">
        <v>33432</v>
      </c>
    </row>
    <row r="101" spans="1:4" x14ac:dyDescent="0.3">
      <c r="A101" t="str">
        <f t="shared" ref="A101:B101" si="69">A72</f>
        <v>Greece</v>
      </c>
      <c r="B101" t="str">
        <f t="shared" si="69"/>
        <v>Hydro Pump Storage</v>
      </c>
      <c r="C101">
        <f t="shared" si="66"/>
        <v>4</v>
      </c>
      <c r="D101" s="1">
        <v>4500</v>
      </c>
    </row>
    <row r="102" spans="1:4" x14ac:dyDescent="0.3">
      <c r="A102" t="str">
        <f t="shared" ref="A102:B102" si="70">A73</f>
        <v>Croatia</v>
      </c>
      <c r="B102" t="str">
        <f t="shared" si="70"/>
        <v>Hydro Pump Storage</v>
      </c>
      <c r="C102">
        <f t="shared" si="66"/>
        <v>4</v>
      </c>
      <c r="D102" s="1">
        <v>1000</v>
      </c>
    </row>
    <row r="103" spans="1:4" x14ac:dyDescent="0.3">
      <c r="A103" t="str">
        <f t="shared" ref="A103:B103" si="71">A74</f>
        <v>Hungary</v>
      </c>
      <c r="B103" t="str">
        <f t="shared" si="71"/>
        <v>Hydro Pump Storage</v>
      </c>
      <c r="C103">
        <f t="shared" si="66"/>
        <v>4</v>
      </c>
      <c r="D103" s="1">
        <v>0</v>
      </c>
    </row>
    <row r="104" spans="1:4" x14ac:dyDescent="0.3">
      <c r="A104" t="str">
        <f t="shared" ref="A104:B104" si="72">A75</f>
        <v>Ireland</v>
      </c>
      <c r="B104" t="str">
        <f t="shared" si="72"/>
        <v>Hydro Pump Storage</v>
      </c>
      <c r="C104">
        <f t="shared" si="66"/>
        <v>4</v>
      </c>
      <c r="D104" s="1">
        <v>2199.34</v>
      </c>
    </row>
    <row r="105" spans="1:4" x14ac:dyDescent="0.3">
      <c r="A105" t="str">
        <f t="shared" ref="A105:B105" si="73">A76</f>
        <v>Italy</v>
      </c>
      <c r="B105" t="str">
        <f t="shared" si="73"/>
        <v>Hydro Pump Storage</v>
      </c>
      <c r="C105">
        <f t="shared" si="66"/>
        <v>4</v>
      </c>
      <c r="D105" s="1">
        <v>53000</v>
      </c>
    </row>
    <row r="106" spans="1:4" x14ac:dyDescent="0.3">
      <c r="A106" t="str">
        <f t="shared" ref="A106:B106" si="74">A77</f>
        <v>Lithuania</v>
      </c>
      <c r="B106" t="str">
        <f t="shared" si="74"/>
        <v>Hydro Pump Storage</v>
      </c>
      <c r="C106">
        <f t="shared" si="66"/>
        <v>4</v>
      </c>
      <c r="D106" s="1">
        <v>1000</v>
      </c>
    </row>
    <row r="107" spans="1:4" x14ac:dyDescent="0.3">
      <c r="A107" t="str">
        <f t="shared" ref="A107:B107" si="75">A78</f>
        <v>Luxemb.</v>
      </c>
      <c r="B107" t="str">
        <f t="shared" si="75"/>
        <v>Hydro Pump Storage</v>
      </c>
      <c r="C107">
        <f t="shared" si="66"/>
        <v>4</v>
      </c>
      <c r="D107" s="1">
        <v>6120</v>
      </c>
    </row>
    <row r="108" spans="1:4" x14ac:dyDescent="0.3">
      <c r="A108" t="str">
        <f t="shared" ref="A108:B108" si="76">A79</f>
        <v>NO1</v>
      </c>
      <c r="B108" t="str">
        <f t="shared" si="76"/>
        <v>Hydro Pump Storage</v>
      </c>
      <c r="C108">
        <f t="shared" si="66"/>
        <v>4</v>
      </c>
      <c r="D108" s="1">
        <v>1417.4082000000001</v>
      </c>
    </row>
    <row r="109" spans="1:4" x14ac:dyDescent="0.3">
      <c r="A109" t="str">
        <f t="shared" ref="A109:B109" si="77">A80</f>
        <v>NO2</v>
      </c>
      <c r="B109" t="str">
        <f t="shared" si="77"/>
        <v>Hydro Pump Storage</v>
      </c>
      <c r="C109">
        <f t="shared" si="66"/>
        <v>4</v>
      </c>
      <c r="D109" s="1">
        <v>3598.0362</v>
      </c>
    </row>
    <row r="110" spans="1:4" x14ac:dyDescent="0.3">
      <c r="A110" t="str">
        <f t="shared" ref="A110:B110" si="78">A81</f>
        <v>NO3</v>
      </c>
      <c r="B110" t="str">
        <f t="shared" si="78"/>
        <v>Hydro Pump Storage</v>
      </c>
      <c r="C110">
        <f t="shared" si="66"/>
        <v>4</v>
      </c>
      <c r="D110" s="1">
        <v>1635.471</v>
      </c>
    </row>
    <row r="111" spans="1:4" x14ac:dyDescent="0.3">
      <c r="A111" t="str">
        <f t="shared" ref="A111:B111" si="79">A82</f>
        <v>NO4</v>
      </c>
      <c r="B111" t="str">
        <f t="shared" si="79"/>
        <v>Hydro Pump Storage</v>
      </c>
      <c r="C111">
        <f t="shared" si="66"/>
        <v>4</v>
      </c>
      <c r="D111" s="1">
        <v>1962.5652</v>
      </c>
    </row>
    <row r="112" spans="1:4" x14ac:dyDescent="0.3">
      <c r="A112" t="str">
        <f t="shared" ref="A112:B112" si="80">A83</f>
        <v>NO5</v>
      </c>
      <c r="B112" t="str">
        <f t="shared" si="80"/>
        <v>Hydro Pump Storage</v>
      </c>
      <c r="C112">
        <f t="shared" si="66"/>
        <v>4</v>
      </c>
      <c r="D112" s="1">
        <v>2289.6594</v>
      </c>
    </row>
    <row r="113" spans="1:4" x14ac:dyDescent="0.3">
      <c r="A113" t="str">
        <f t="shared" ref="A113:B113" si="81">A84</f>
        <v>Poland</v>
      </c>
      <c r="B113" t="str">
        <f t="shared" si="81"/>
        <v>Hydro Pump Storage</v>
      </c>
      <c r="C113">
        <f t="shared" si="66"/>
        <v>4</v>
      </c>
      <c r="D113" s="1">
        <v>10903.14</v>
      </c>
    </row>
    <row r="114" spans="1:4" x14ac:dyDescent="0.3">
      <c r="A114" t="str">
        <f t="shared" ref="A114:B114" si="82">A85</f>
        <v>Portugal</v>
      </c>
      <c r="B114" t="str">
        <f t="shared" si="82"/>
        <v>Hydro Pump Storage</v>
      </c>
      <c r="C114">
        <f t="shared" si="66"/>
        <v>4</v>
      </c>
      <c r="D114" s="1">
        <v>107254.08</v>
      </c>
    </row>
    <row r="115" spans="1:4" x14ac:dyDescent="0.3">
      <c r="A115" t="str">
        <f t="shared" ref="A115:B115" si="83">A86</f>
        <v>Romania</v>
      </c>
      <c r="B115" t="str">
        <f t="shared" si="83"/>
        <v>Hydro Pump Storage</v>
      </c>
      <c r="C115">
        <f t="shared" si="66"/>
        <v>4</v>
      </c>
      <c r="D115" s="1">
        <v>3686.3928000000001</v>
      </c>
    </row>
    <row r="116" spans="1:4" x14ac:dyDescent="0.3">
      <c r="A116" t="str">
        <f t="shared" ref="A116:B116" si="84">A87</f>
        <v>Serbia</v>
      </c>
      <c r="B116" t="str">
        <f t="shared" si="84"/>
        <v>Hydro Pump Storage</v>
      </c>
      <c r="C116">
        <f t="shared" si="66"/>
        <v>4</v>
      </c>
      <c r="D116" s="1">
        <v>1500</v>
      </c>
    </row>
    <row r="117" spans="1:4" x14ac:dyDescent="0.3">
      <c r="A117" t="str">
        <f t="shared" ref="A117:B117" si="85">A88</f>
        <v>Sweden</v>
      </c>
      <c r="B117" t="str">
        <f t="shared" si="85"/>
        <v>Hydro Pump Storage</v>
      </c>
      <c r="C117">
        <f t="shared" si="66"/>
        <v>4</v>
      </c>
      <c r="D117" s="1">
        <v>0</v>
      </c>
    </row>
    <row r="118" spans="1:4" x14ac:dyDescent="0.3">
      <c r="A118" t="str">
        <f t="shared" ref="A118:B118" si="86">A89</f>
        <v>Slovakia</v>
      </c>
      <c r="B118" t="str">
        <f t="shared" si="86"/>
        <v>Hydro Pump Storage</v>
      </c>
      <c r="C118">
        <f t="shared" si="66"/>
        <v>4</v>
      </c>
      <c r="D118" s="1">
        <v>3686.3928000000001</v>
      </c>
    </row>
    <row r="119" spans="1:4" x14ac:dyDescent="0.3">
      <c r="A119" t="str">
        <f t="shared" ref="A119:B119" si="87">A90</f>
        <v>Slovenia</v>
      </c>
      <c r="B119" t="str">
        <f t="shared" si="87"/>
        <v>Hydro Pump Storage</v>
      </c>
      <c r="C119">
        <f t="shared" si="66"/>
        <v>4</v>
      </c>
      <c r="D119" s="1">
        <v>2800</v>
      </c>
    </row>
    <row r="120" spans="1:4" x14ac:dyDescent="0.3">
      <c r="A120" t="str">
        <f t="shared" ref="A120:B120" si="88">A91</f>
        <v>Austria</v>
      </c>
      <c r="B120" t="str">
        <f t="shared" si="88"/>
        <v>Hydro Pump Storage</v>
      </c>
      <c r="C120">
        <f t="shared" si="66"/>
        <v>5</v>
      </c>
      <c r="D120" s="1">
        <v>124704</v>
      </c>
    </row>
    <row r="121" spans="1:4" x14ac:dyDescent="0.3">
      <c r="A121" t="str">
        <f t="shared" ref="A121:B121" si="89">A92</f>
        <v>Bosnia H</v>
      </c>
      <c r="B121" t="str">
        <f t="shared" si="89"/>
        <v>Hydro Pump Storage</v>
      </c>
      <c r="C121">
        <f t="shared" si="66"/>
        <v>5</v>
      </c>
      <c r="D121" s="1">
        <v>2199.34</v>
      </c>
    </row>
    <row r="122" spans="1:4" x14ac:dyDescent="0.3">
      <c r="A122" t="str">
        <f t="shared" ref="A122:B122" si="90">A93</f>
        <v>Belgium</v>
      </c>
      <c r="B122" t="str">
        <f t="shared" si="90"/>
        <v>Hydro Pump Storage</v>
      </c>
      <c r="C122">
        <f t="shared" si="66"/>
        <v>5</v>
      </c>
      <c r="D122" s="1">
        <v>7762.5</v>
      </c>
    </row>
    <row r="123" spans="1:4" x14ac:dyDescent="0.3">
      <c r="A123" t="str">
        <f t="shared" ref="A123:B123" si="91">A94</f>
        <v>Bulgaria</v>
      </c>
      <c r="B123" t="str">
        <f t="shared" si="91"/>
        <v>Hydro Pump Storage</v>
      </c>
      <c r="C123">
        <f t="shared" si="66"/>
        <v>5</v>
      </c>
      <c r="D123" s="1">
        <v>5200</v>
      </c>
    </row>
    <row r="124" spans="1:4" x14ac:dyDescent="0.3">
      <c r="A124" t="str">
        <f t="shared" ref="A124:B124" si="92">A95</f>
        <v>Switzerland</v>
      </c>
      <c r="B124" t="str">
        <f t="shared" si="92"/>
        <v>Hydro Pump Storage</v>
      </c>
      <c r="C124">
        <f t="shared" si="66"/>
        <v>5</v>
      </c>
      <c r="D124" s="1">
        <v>66807</v>
      </c>
    </row>
    <row r="125" spans="1:4" x14ac:dyDescent="0.3">
      <c r="A125" t="str">
        <f t="shared" ref="A125:B125" si="93">A96</f>
        <v>Czech R</v>
      </c>
      <c r="B125" t="str">
        <f t="shared" si="93"/>
        <v>Hydro Pump Storage</v>
      </c>
      <c r="C125">
        <f t="shared" si="66"/>
        <v>5</v>
      </c>
      <c r="D125" s="1">
        <v>6723.5</v>
      </c>
    </row>
    <row r="126" spans="1:4" x14ac:dyDescent="0.3">
      <c r="A126" t="str">
        <f t="shared" ref="A126:B126" si="94">A97</f>
        <v>Germany</v>
      </c>
      <c r="B126" t="str">
        <f t="shared" si="94"/>
        <v>Hydro Pump Storage</v>
      </c>
      <c r="C126">
        <f t="shared" si="66"/>
        <v>5</v>
      </c>
      <c r="D126" s="1">
        <v>38626</v>
      </c>
    </row>
    <row r="127" spans="1:4" x14ac:dyDescent="0.3">
      <c r="A127" t="str">
        <f t="shared" ref="A127:B127" si="95">A98</f>
        <v>Spain</v>
      </c>
      <c r="B127" t="str">
        <f t="shared" si="95"/>
        <v>Hydro Pump Storage</v>
      </c>
      <c r="C127">
        <f t="shared" si="66"/>
        <v>5</v>
      </c>
      <c r="D127" s="1">
        <v>153015.91</v>
      </c>
    </row>
    <row r="128" spans="1:4" x14ac:dyDescent="0.3">
      <c r="A128" t="str">
        <f t="shared" ref="A128:B128" si="96">A99</f>
        <v>France</v>
      </c>
      <c r="B128" t="str">
        <f t="shared" si="96"/>
        <v>Hydro Pump Storage</v>
      </c>
      <c r="C128">
        <f t="shared" si="66"/>
        <v>5</v>
      </c>
      <c r="D128" s="1">
        <v>184296</v>
      </c>
    </row>
    <row r="129" spans="1:4" x14ac:dyDescent="0.3">
      <c r="A129" t="str">
        <f t="shared" ref="A129:B129" si="97">A100</f>
        <v>Great Brit.</v>
      </c>
      <c r="B129" t="str">
        <f t="shared" si="97"/>
        <v>Hydro Pump Storage</v>
      </c>
      <c r="C129">
        <f t="shared" si="66"/>
        <v>5</v>
      </c>
      <c r="D129" s="1">
        <v>33432</v>
      </c>
    </row>
    <row r="130" spans="1:4" x14ac:dyDescent="0.3">
      <c r="A130" t="str">
        <f t="shared" ref="A130:B130" si="98">A101</f>
        <v>Greece</v>
      </c>
      <c r="B130" t="str">
        <f t="shared" si="98"/>
        <v>Hydro Pump Storage</v>
      </c>
      <c r="C130">
        <f t="shared" si="66"/>
        <v>5</v>
      </c>
      <c r="D130" s="1">
        <v>4500</v>
      </c>
    </row>
    <row r="131" spans="1:4" x14ac:dyDescent="0.3">
      <c r="A131" t="str">
        <f t="shared" ref="A131:B131" si="99">A102</f>
        <v>Croatia</v>
      </c>
      <c r="B131" t="str">
        <f t="shared" si="99"/>
        <v>Hydro Pump Storage</v>
      </c>
      <c r="C131">
        <f t="shared" si="66"/>
        <v>5</v>
      </c>
      <c r="D131" s="1">
        <v>1000</v>
      </c>
    </row>
    <row r="132" spans="1:4" x14ac:dyDescent="0.3">
      <c r="A132" t="str">
        <f t="shared" ref="A132:B132" si="100">A103</f>
        <v>Hungary</v>
      </c>
      <c r="B132" t="str">
        <f t="shared" si="100"/>
        <v>Hydro Pump Storage</v>
      </c>
      <c r="C132">
        <f t="shared" si="66"/>
        <v>5</v>
      </c>
      <c r="D132" s="1">
        <v>0</v>
      </c>
    </row>
    <row r="133" spans="1:4" x14ac:dyDescent="0.3">
      <c r="A133" t="str">
        <f t="shared" ref="A133:B133" si="101">A104</f>
        <v>Ireland</v>
      </c>
      <c r="B133" t="str">
        <f t="shared" si="101"/>
        <v>Hydro Pump Storage</v>
      </c>
      <c r="C133">
        <f t="shared" si="66"/>
        <v>5</v>
      </c>
      <c r="D133" s="1">
        <v>2199.34</v>
      </c>
    </row>
    <row r="134" spans="1:4" x14ac:dyDescent="0.3">
      <c r="A134" t="str">
        <f t="shared" ref="A134:B134" si="102">A105</f>
        <v>Italy</v>
      </c>
      <c r="B134" t="str">
        <f t="shared" si="102"/>
        <v>Hydro Pump Storage</v>
      </c>
      <c r="C134">
        <f t="shared" si="66"/>
        <v>5</v>
      </c>
      <c r="D134" s="1">
        <v>53000</v>
      </c>
    </row>
    <row r="135" spans="1:4" x14ac:dyDescent="0.3">
      <c r="A135" t="str">
        <f t="shared" ref="A135:B135" si="103">A106</f>
        <v>Lithuania</v>
      </c>
      <c r="B135" t="str">
        <f t="shared" si="103"/>
        <v>Hydro Pump Storage</v>
      </c>
      <c r="C135">
        <f t="shared" si="66"/>
        <v>5</v>
      </c>
      <c r="D135" s="1">
        <v>1000</v>
      </c>
    </row>
    <row r="136" spans="1:4" x14ac:dyDescent="0.3">
      <c r="A136" t="str">
        <f t="shared" ref="A136:B136" si="104">A107</f>
        <v>Luxemb.</v>
      </c>
      <c r="B136" t="str">
        <f t="shared" si="104"/>
        <v>Hydro Pump Storage</v>
      </c>
      <c r="C136">
        <f t="shared" si="66"/>
        <v>5</v>
      </c>
      <c r="D136" s="1">
        <v>6120</v>
      </c>
    </row>
    <row r="137" spans="1:4" x14ac:dyDescent="0.3">
      <c r="A137" t="str">
        <f t="shared" ref="A137:B137" si="105">A108</f>
        <v>NO1</v>
      </c>
      <c r="B137" t="str">
        <f t="shared" si="105"/>
        <v>Hydro Pump Storage</v>
      </c>
      <c r="C137">
        <f t="shared" si="66"/>
        <v>5</v>
      </c>
      <c r="D137" s="1">
        <v>1417.4082000000001</v>
      </c>
    </row>
    <row r="138" spans="1:4" x14ac:dyDescent="0.3">
      <c r="A138" t="str">
        <f t="shared" ref="A138:B138" si="106">A109</f>
        <v>NO2</v>
      </c>
      <c r="B138" t="str">
        <f t="shared" si="106"/>
        <v>Hydro Pump Storage</v>
      </c>
      <c r="C138">
        <f t="shared" si="66"/>
        <v>5</v>
      </c>
      <c r="D138" s="1">
        <v>3598.0362</v>
      </c>
    </row>
    <row r="139" spans="1:4" x14ac:dyDescent="0.3">
      <c r="A139" t="str">
        <f t="shared" ref="A139:B139" si="107">A110</f>
        <v>NO3</v>
      </c>
      <c r="B139" t="str">
        <f t="shared" si="107"/>
        <v>Hydro Pump Storage</v>
      </c>
      <c r="C139">
        <f t="shared" si="66"/>
        <v>5</v>
      </c>
      <c r="D139" s="1">
        <v>1635.471</v>
      </c>
    </row>
    <row r="140" spans="1:4" x14ac:dyDescent="0.3">
      <c r="A140" t="str">
        <f t="shared" ref="A140:B140" si="108">A111</f>
        <v>NO4</v>
      </c>
      <c r="B140" t="str">
        <f t="shared" si="108"/>
        <v>Hydro Pump Storage</v>
      </c>
      <c r="C140">
        <f t="shared" si="66"/>
        <v>5</v>
      </c>
      <c r="D140" s="1">
        <v>1962.5652</v>
      </c>
    </row>
    <row r="141" spans="1:4" x14ac:dyDescent="0.3">
      <c r="A141" t="str">
        <f t="shared" ref="A141:B141" si="109">A112</f>
        <v>NO5</v>
      </c>
      <c r="B141" t="str">
        <f t="shared" si="109"/>
        <v>Hydro Pump Storage</v>
      </c>
      <c r="C141">
        <f t="shared" si="66"/>
        <v>5</v>
      </c>
      <c r="D141" s="1">
        <v>2289.6594</v>
      </c>
    </row>
    <row r="142" spans="1:4" x14ac:dyDescent="0.3">
      <c r="A142" t="str">
        <f t="shared" ref="A142:B142" si="110">A113</f>
        <v>Poland</v>
      </c>
      <c r="B142" t="str">
        <f t="shared" si="110"/>
        <v>Hydro Pump Storage</v>
      </c>
      <c r="C142">
        <f t="shared" si="66"/>
        <v>5</v>
      </c>
      <c r="D142" s="1">
        <v>10903.14</v>
      </c>
    </row>
    <row r="143" spans="1:4" x14ac:dyDescent="0.3">
      <c r="A143" t="str">
        <f t="shared" ref="A143:B143" si="111">A114</f>
        <v>Portugal</v>
      </c>
      <c r="B143" t="str">
        <f t="shared" si="111"/>
        <v>Hydro Pump Storage</v>
      </c>
      <c r="C143">
        <f t="shared" si="66"/>
        <v>5</v>
      </c>
      <c r="D143" s="1">
        <v>107254.08</v>
      </c>
    </row>
    <row r="144" spans="1:4" x14ac:dyDescent="0.3">
      <c r="A144" t="str">
        <f t="shared" ref="A144:B144" si="112">A115</f>
        <v>Romania</v>
      </c>
      <c r="B144" t="str">
        <f t="shared" si="112"/>
        <v>Hydro Pump Storage</v>
      </c>
      <c r="C144">
        <f t="shared" si="66"/>
        <v>5</v>
      </c>
      <c r="D144" s="1">
        <v>3686.3928000000001</v>
      </c>
    </row>
    <row r="145" spans="1:4" x14ac:dyDescent="0.3">
      <c r="A145" t="str">
        <f t="shared" ref="A145:B145" si="113">A116</f>
        <v>Serbia</v>
      </c>
      <c r="B145" t="str">
        <f t="shared" si="113"/>
        <v>Hydro Pump Storage</v>
      </c>
      <c r="C145">
        <f t="shared" si="66"/>
        <v>5</v>
      </c>
      <c r="D145" s="1">
        <v>1500</v>
      </c>
    </row>
    <row r="146" spans="1:4" x14ac:dyDescent="0.3">
      <c r="A146" t="str">
        <f t="shared" ref="A146:B146" si="114">A117</f>
        <v>Sweden</v>
      </c>
      <c r="B146" t="str">
        <f t="shared" si="114"/>
        <v>Hydro Pump Storage</v>
      </c>
      <c r="C146">
        <f t="shared" si="66"/>
        <v>5</v>
      </c>
      <c r="D146" s="1">
        <v>0</v>
      </c>
    </row>
    <row r="147" spans="1:4" x14ac:dyDescent="0.3">
      <c r="A147" t="str">
        <f t="shared" ref="A147:B147" si="115">A118</f>
        <v>Slovakia</v>
      </c>
      <c r="B147" t="str">
        <f t="shared" si="115"/>
        <v>Hydro Pump Storage</v>
      </c>
      <c r="C147">
        <f t="shared" si="66"/>
        <v>5</v>
      </c>
      <c r="D147" s="1">
        <v>3686.3928000000001</v>
      </c>
    </row>
    <row r="148" spans="1:4" x14ac:dyDescent="0.3">
      <c r="A148" t="str">
        <f t="shared" ref="A148:B148" si="116">A119</f>
        <v>Slovenia</v>
      </c>
      <c r="B148" t="str">
        <f t="shared" si="116"/>
        <v>Hydro Pump Storage</v>
      </c>
      <c r="C148">
        <f t="shared" si="66"/>
        <v>5</v>
      </c>
      <c r="D148" s="1">
        <v>2800</v>
      </c>
    </row>
    <row r="149" spans="1:4" x14ac:dyDescent="0.3">
      <c r="A149" t="str">
        <f t="shared" ref="A149:B149" si="117">A120</f>
        <v>Austria</v>
      </c>
      <c r="B149" t="str">
        <f t="shared" si="117"/>
        <v>Hydro Pump Storage</v>
      </c>
      <c r="C149">
        <f t="shared" si="66"/>
        <v>6</v>
      </c>
      <c r="D149" s="1">
        <v>124704</v>
      </c>
    </row>
    <row r="150" spans="1:4" x14ac:dyDescent="0.3">
      <c r="A150" t="str">
        <f t="shared" ref="A150:B150" si="118">A121</f>
        <v>Bosnia H</v>
      </c>
      <c r="B150" t="str">
        <f t="shared" si="118"/>
        <v>Hydro Pump Storage</v>
      </c>
      <c r="C150">
        <f t="shared" si="66"/>
        <v>6</v>
      </c>
      <c r="D150" s="1">
        <v>2199.34</v>
      </c>
    </row>
    <row r="151" spans="1:4" x14ac:dyDescent="0.3">
      <c r="A151" t="str">
        <f t="shared" ref="A151:B151" si="119">A122</f>
        <v>Belgium</v>
      </c>
      <c r="B151" t="str">
        <f t="shared" si="119"/>
        <v>Hydro Pump Storage</v>
      </c>
      <c r="C151">
        <f t="shared" si="66"/>
        <v>6</v>
      </c>
      <c r="D151" s="1">
        <v>7762.5</v>
      </c>
    </row>
    <row r="152" spans="1:4" x14ac:dyDescent="0.3">
      <c r="A152" t="str">
        <f t="shared" ref="A152:B152" si="120">A123</f>
        <v>Bulgaria</v>
      </c>
      <c r="B152" t="str">
        <f t="shared" si="120"/>
        <v>Hydro Pump Storage</v>
      </c>
      <c r="C152">
        <f t="shared" si="66"/>
        <v>6</v>
      </c>
      <c r="D152" s="1">
        <v>5200</v>
      </c>
    </row>
    <row r="153" spans="1:4" x14ac:dyDescent="0.3">
      <c r="A153" t="str">
        <f t="shared" ref="A153:B153" si="121">A124</f>
        <v>Switzerland</v>
      </c>
      <c r="B153" t="str">
        <f t="shared" si="121"/>
        <v>Hydro Pump Storage</v>
      </c>
      <c r="C153">
        <f t="shared" si="66"/>
        <v>6</v>
      </c>
      <c r="D153" s="1">
        <v>66807</v>
      </c>
    </row>
    <row r="154" spans="1:4" x14ac:dyDescent="0.3">
      <c r="A154" t="str">
        <f t="shared" ref="A154:B154" si="122">A125</f>
        <v>Czech R</v>
      </c>
      <c r="B154" t="str">
        <f t="shared" si="122"/>
        <v>Hydro Pump Storage</v>
      </c>
      <c r="C154">
        <f t="shared" si="66"/>
        <v>6</v>
      </c>
      <c r="D154" s="1">
        <v>6723.5</v>
      </c>
    </row>
    <row r="155" spans="1:4" x14ac:dyDescent="0.3">
      <c r="A155" t="str">
        <f t="shared" ref="A155:B155" si="123">A126</f>
        <v>Germany</v>
      </c>
      <c r="B155" t="str">
        <f t="shared" si="123"/>
        <v>Hydro Pump Storage</v>
      </c>
      <c r="C155">
        <f t="shared" si="66"/>
        <v>6</v>
      </c>
      <c r="D155" s="1">
        <v>38626</v>
      </c>
    </row>
    <row r="156" spans="1:4" x14ac:dyDescent="0.3">
      <c r="A156" t="str">
        <f t="shared" ref="A156:B156" si="124">A127</f>
        <v>Spain</v>
      </c>
      <c r="B156" t="str">
        <f t="shared" si="124"/>
        <v>Hydro Pump Storage</v>
      </c>
      <c r="C156">
        <f t="shared" si="66"/>
        <v>6</v>
      </c>
      <c r="D156" s="1">
        <v>153015.91</v>
      </c>
    </row>
    <row r="157" spans="1:4" x14ac:dyDescent="0.3">
      <c r="A157" t="str">
        <f t="shared" ref="A157:B157" si="125">A128</f>
        <v>France</v>
      </c>
      <c r="B157" t="str">
        <f t="shared" si="125"/>
        <v>Hydro Pump Storage</v>
      </c>
      <c r="C157">
        <f t="shared" si="66"/>
        <v>6</v>
      </c>
      <c r="D157" s="1">
        <v>184296</v>
      </c>
    </row>
    <row r="158" spans="1:4" x14ac:dyDescent="0.3">
      <c r="A158" t="str">
        <f t="shared" ref="A158:B158" si="126">A129</f>
        <v>Great Brit.</v>
      </c>
      <c r="B158" t="str">
        <f t="shared" si="126"/>
        <v>Hydro Pump Storage</v>
      </c>
      <c r="C158">
        <f t="shared" si="66"/>
        <v>6</v>
      </c>
      <c r="D158" s="1">
        <v>33432</v>
      </c>
    </row>
    <row r="159" spans="1:4" x14ac:dyDescent="0.3">
      <c r="A159" t="str">
        <f t="shared" ref="A159:B159" si="127">A130</f>
        <v>Greece</v>
      </c>
      <c r="B159" t="str">
        <f t="shared" si="127"/>
        <v>Hydro Pump Storage</v>
      </c>
      <c r="C159">
        <f t="shared" si="66"/>
        <v>6</v>
      </c>
      <c r="D159" s="1">
        <v>4500</v>
      </c>
    </row>
    <row r="160" spans="1:4" x14ac:dyDescent="0.3">
      <c r="A160" t="str">
        <f t="shared" ref="A160:B160" si="128">A131</f>
        <v>Croatia</v>
      </c>
      <c r="B160" t="str">
        <f t="shared" si="128"/>
        <v>Hydro Pump Storage</v>
      </c>
      <c r="C160">
        <f t="shared" si="66"/>
        <v>6</v>
      </c>
      <c r="D160" s="1">
        <v>1000</v>
      </c>
    </row>
    <row r="161" spans="1:4" x14ac:dyDescent="0.3">
      <c r="A161" t="str">
        <f t="shared" ref="A161:B161" si="129">A132</f>
        <v>Hungary</v>
      </c>
      <c r="B161" t="str">
        <f t="shared" si="129"/>
        <v>Hydro Pump Storage</v>
      </c>
      <c r="C161">
        <f t="shared" si="66"/>
        <v>6</v>
      </c>
      <c r="D161" s="1">
        <v>0</v>
      </c>
    </row>
    <row r="162" spans="1:4" x14ac:dyDescent="0.3">
      <c r="A162" t="str">
        <f t="shared" ref="A162:B162" si="130">A133</f>
        <v>Ireland</v>
      </c>
      <c r="B162" t="str">
        <f t="shared" si="130"/>
        <v>Hydro Pump Storage</v>
      </c>
      <c r="C162">
        <f t="shared" ref="C162:C206" si="131">C133+1</f>
        <v>6</v>
      </c>
      <c r="D162" s="1">
        <v>2199.34</v>
      </c>
    </row>
    <row r="163" spans="1:4" x14ac:dyDescent="0.3">
      <c r="A163" t="str">
        <f t="shared" ref="A163:B163" si="132">A134</f>
        <v>Italy</v>
      </c>
      <c r="B163" t="str">
        <f t="shared" si="132"/>
        <v>Hydro Pump Storage</v>
      </c>
      <c r="C163">
        <f t="shared" si="131"/>
        <v>6</v>
      </c>
      <c r="D163" s="1">
        <v>53000</v>
      </c>
    </row>
    <row r="164" spans="1:4" x14ac:dyDescent="0.3">
      <c r="A164" t="str">
        <f t="shared" ref="A164:B164" si="133">A135</f>
        <v>Lithuania</v>
      </c>
      <c r="B164" t="str">
        <f t="shared" si="133"/>
        <v>Hydro Pump Storage</v>
      </c>
      <c r="C164">
        <f t="shared" si="131"/>
        <v>6</v>
      </c>
      <c r="D164" s="1">
        <v>1000</v>
      </c>
    </row>
    <row r="165" spans="1:4" x14ac:dyDescent="0.3">
      <c r="A165" t="str">
        <f t="shared" ref="A165:B165" si="134">A136</f>
        <v>Luxemb.</v>
      </c>
      <c r="B165" t="str">
        <f t="shared" si="134"/>
        <v>Hydro Pump Storage</v>
      </c>
      <c r="C165">
        <f t="shared" si="131"/>
        <v>6</v>
      </c>
      <c r="D165" s="1">
        <v>6120</v>
      </c>
    </row>
    <row r="166" spans="1:4" x14ac:dyDescent="0.3">
      <c r="A166" t="str">
        <f t="shared" ref="A166:B166" si="135">A137</f>
        <v>NO1</v>
      </c>
      <c r="B166" t="str">
        <f t="shared" si="135"/>
        <v>Hydro Pump Storage</v>
      </c>
      <c r="C166">
        <f t="shared" si="131"/>
        <v>6</v>
      </c>
      <c r="D166" s="1">
        <v>1417.4082000000001</v>
      </c>
    </row>
    <row r="167" spans="1:4" x14ac:dyDescent="0.3">
      <c r="A167" t="str">
        <f t="shared" ref="A167:B167" si="136">A138</f>
        <v>NO2</v>
      </c>
      <c r="B167" t="str">
        <f t="shared" si="136"/>
        <v>Hydro Pump Storage</v>
      </c>
      <c r="C167">
        <f t="shared" si="131"/>
        <v>6</v>
      </c>
      <c r="D167" s="1">
        <v>3598.0362</v>
      </c>
    </row>
    <row r="168" spans="1:4" x14ac:dyDescent="0.3">
      <c r="A168" t="str">
        <f t="shared" ref="A168:B168" si="137">A139</f>
        <v>NO3</v>
      </c>
      <c r="B168" t="str">
        <f t="shared" si="137"/>
        <v>Hydro Pump Storage</v>
      </c>
      <c r="C168">
        <f t="shared" si="131"/>
        <v>6</v>
      </c>
      <c r="D168" s="1">
        <v>1635.471</v>
      </c>
    </row>
    <row r="169" spans="1:4" x14ac:dyDescent="0.3">
      <c r="A169" t="str">
        <f t="shared" ref="A169:B169" si="138">A140</f>
        <v>NO4</v>
      </c>
      <c r="B169" t="str">
        <f t="shared" si="138"/>
        <v>Hydro Pump Storage</v>
      </c>
      <c r="C169">
        <f t="shared" si="131"/>
        <v>6</v>
      </c>
      <c r="D169" s="1">
        <v>1962.5652</v>
      </c>
    </row>
    <row r="170" spans="1:4" x14ac:dyDescent="0.3">
      <c r="A170" t="str">
        <f t="shared" ref="A170:B170" si="139">A141</f>
        <v>NO5</v>
      </c>
      <c r="B170" t="str">
        <f t="shared" si="139"/>
        <v>Hydro Pump Storage</v>
      </c>
      <c r="C170">
        <f t="shared" si="131"/>
        <v>6</v>
      </c>
      <c r="D170" s="1">
        <v>2289.6594</v>
      </c>
    </row>
    <row r="171" spans="1:4" x14ac:dyDescent="0.3">
      <c r="A171" t="str">
        <f t="shared" ref="A171:B171" si="140">A142</f>
        <v>Poland</v>
      </c>
      <c r="B171" t="str">
        <f t="shared" si="140"/>
        <v>Hydro Pump Storage</v>
      </c>
      <c r="C171">
        <f t="shared" si="131"/>
        <v>6</v>
      </c>
      <c r="D171" s="1">
        <v>10903.14</v>
      </c>
    </row>
    <row r="172" spans="1:4" x14ac:dyDescent="0.3">
      <c r="A172" t="str">
        <f t="shared" ref="A172:B172" si="141">A143</f>
        <v>Portugal</v>
      </c>
      <c r="B172" t="str">
        <f t="shared" si="141"/>
        <v>Hydro Pump Storage</v>
      </c>
      <c r="C172">
        <f t="shared" si="131"/>
        <v>6</v>
      </c>
      <c r="D172" s="1">
        <v>107254.08</v>
      </c>
    </row>
    <row r="173" spans="1:4" x14ac:dyDescent="0.3">
      <c r="A173" t="str">
        <f t="shared" ref="A173:B173" si="142">A144</f>
        <v>Romania</v>
      </c>
      <c r="B173" t="str">
        <f t="shared" si="142"/>
        <v>Hydro Pump Storage</v>
      </c>
      <c r="C173">
        <f t="shared" si="131"/>
        <v>6</v>
      </c>
      <c r="D173" s="1">
        <v>3686.3928000000001</v>
      </c>
    </row>
    <row r="174" spans="1:4" x14ac:dyDescent="0.3">
      <c r="A174" t="str">
        <f t="shared" ref="A174:B174" si="143">A145</f>
        <v>Serbia</v>
      </c>
      <c r="B174" t="str">
        <f t="shared" si="143"/>
        <v>Hydro Pump Storage</v>
      </c>
      <c r="C174">
        <f t="shared" si="131"/>
        <v>6</v>
      </c>
      <c r="D174" s="1">
        <v>1500</v>
      </c>
    </row>
    <row r="175" spans="1:4" x14ac:dyDescent="0.3">
      <c r="A175" t="str">
        <f t="shared" ref="A175:B175" si="144">A146</f>
        <v>Sweden</v>
      </c>
      <c r="B175" t="str">
        <f t="shared" si="144"/>
        <v>Hydro Pump Storage</v>
      </c>
      <c r="C175">
        <f t="shared" si="131"/>
        <v>6</v>
      </c>
      <c r="D175" s="1">
        <v>0</v>
      </c>
    </row>
    <row r="176" spans="1:4" x14ac:dyDescent="0.3">
      <c r="A176" t="str">
        <f t="shared" ref="A176:B176" si="145">A147</f>
        <v>Slovakia</v>
      </c>
      <c r="B176" t="str">
        <f t="shared" si="145"/>
        <v>Hydro Pump Storage</v>
      </c>
      <c r="C176">
        <f t="shared" si="131"/>
        <v>6</v>
      </c>
      <c r="D176" s="1">
        <v>3686.3928000000001</v>
      </c>
    </row>
    <row r="177" spans="1:4" x14ac:dyDescent="0.3">
      <c r="A177" t="str">
        <f t="shared" ref="A177:B177" si="146">A148</f>
        <v>Slovenia</v>
      </c>
      <c r="B177" t="str">
        <f t="shared" si="146"/>
        <v>Hydro Pump Storage</v>
      </c>
      <c r="C177">
        <f t="shared" si="131"/>
        <v>6</v>
      </c>
      <c r="D177" s="1">
        <v>2800</v>
      </c>
    </row>
    <row r="178" spans="1:4" x14ac:dyDescent="0.3">
      <c r="A178" t="str">
        <f t="shared" ref="A178:B178" si="147">A149</f>
        <v>Austria</v>
      </c>
      <c r="B178" t="str">
        <f t="shared" si="147"/>
        <v>Hydro Pump Storage</v>
      </c>
      <c r="C178">
        <f t="shared" si="131"/>
        <v>7</v>
      </c>
      <c r="D178" s="1">
        <v>124704</v>
      </c>
    </row>
    <row r="179" spans="1:4" x14ac:dyDescent="0.3">
      <c r="A179" t="str">
        <f t="shared" ref="A179:B179" si="148">A150</f>
        <v>Bosnia H</v>
      </c>
      <c r="B179" t="str">
        <f t="shared" si="148"/>
        <v>Hydro Pump Storage</v>
      </c>
      <c r="C179">
        <f t="shared" si="131"/>
        <v>7</v>
      </c>
      <c r="D179" s="1">
        <v>2199.34</v>
      </c>
    </row>
    <row r="180" spans="1:4" x14ac:dyDescent="0.3">
      <c r="A180" t="str">
        <f t="shared" ref="A180:B180" si="149">A151</f>
        <v>Belgium</v>
      </c>
      <c r="B180" t="str">
        <f t="shared" si="149"/>
        <v>Hydro Pump Storage</v>
      </c>
      <c r="C180">
        <f t="shared" si="131"/>
        <v>7</v>
      </c>
      <c r="D180" s="1">
        <v>7762.5</v>
      </c>
    </row>
    <row r="181" spans="1:4" x14ac:dyDescent="0.3">
      <c r="A181" t="str">
        <f t="shared" ref="A181:B181" si="150">A152</f>
        <v>Bulgaria</v>
      </c>
      <c r="B181" t="str">
        <f t="shared" si="150"/>
        <v>Hydro Pump Storage</v>
      </c>
      <c r="C181">
        <f t="shared" si="131"/>
        <v>7</v>
      </c>
      <c r="D181" s="1">
        <v>5200</v>
      </c>
    </row>
    <row r="182" spans="1:4" x14ac:dyDescent="0.3">
      <c r="A182" t="str">
        <f t="shared" ref="A182:B182" si="151">A153</f>
        <v>Switzerland</v>
      </c>
      <c r="B182" t="str">
        <f t="shared" si="151"/>
        <v>Hydro Pump Storage</v>
      </c>
      <c r="C182">
        <f t="shared" si="131"/>
        <v>7</v>
      </c>
      <c r="D182" s="1">
        <v>66807</v>
      </c>
    </row>
    <row r="183" spans="1:4" x14ac:dyDescent="0.3">
      <c r="A183" t="str">
        <f t="shared" ref="A183:B183" si="152">A154</f>
        <v>Czech R</v>
      </c>
      <c r="B183" t="str">
        <f t="shared" si="152"/>
        <v>Hydro Pump Storage</v>
      </c>
      <c r="C183">
        <f t="shared" si="131"/>
        <v>7</v>
      </c>
      <c r="D183" s="1">
        <v>6723.5</v>
      </c>
    </row>
    <row r="184" spans="1:4" x14ac:dyDescent="0.3">
      <c r="A184" t="str">
        <f t="shared" ref="A184:B184" si="153">A155</f>
        <v>Germany</v>
      </c>
      <c r="B184" t="str">
        <f t="shared" si="153"/>
        <v>Hydro Pump Storage</v>
      </c>
      <c r="C184">
        <f t="shared" si="131"/>
        <v>7</v>
      </c>
      <c r="D184" s="1">
        <v>38626</v>
      </c>
    </row>
    <row r="185" spans="1:4" x14ac:dyDescent="0.3">
      <c r="A185" t="str">
        <f t="shared" ref="A185:B185" si="154">A156</f>
        <v>Spain</v>
      </c>
      <c r="B185" t="str">
        <f t="shared" si="154"/>
        <v>Hydro Pump Storage</v>
      </c>
      <c r="C185">
        <f t="shared" si="131"/>
        <v>7</v>
      </c>
      <c r="D185" s="1">
        <v>153015.91</v>
      </c>
    </row>
    <row r="186" spans="1:4" x14ac:dyDescent="0.3">
      <c r="A186" t="str">
        <f t="shared" ref="A186:B186" si="155">A157</f>
        <v>France</v>
      </c>
      <c r="B186" t="str">
        <f t="shared" si="155"/>
        <v>Hydro Pump Storage</v>
      </c>
      <c r="C186">
        <f t="shared" si="131"/>
        <v>7</v>
      </c>
      <c r="D186" s="1">
        <v>184296</v>
      </c>
    </row>
    <row r="187" spans="1:4" x14ac:dyDescent="0.3">
      <c r="A187" t="str">
        <f t="shared" ref="A187:B187" si="156">A158</f>
        <v>Great Brit.</v>
      </c>
      <c r="B187" t="str">
        <f t="shared" si="156"/>
        <v>Hydro Pump Storage</v>
      </c>
      <c r="C187">
        <f t="shared" si="131"/>
        <v>7</v>
      </c>
      <c r="D187" s="1">
        <v>33432</v>
      </c>
    </row>
    <row r="188" spans="1:4" x14ac:dyDescent="0.3">
      <c r="A188" t="str">
        <f t="shared" ref="A188:B188" si="157">A159</f>
        <v>Greece</v>
      </c>
      <c r="B188" t="str">
        <f t="shared" si="157"/>
        <v>Hydro Pump Storage</v>
      </c>
      <c r="C188">
        <f t="shared" si="131"/>
        <v>7</v>
      </c>
      <c r="D188" s="1">
        <v>4500</v>
      </c>
    </row>
    <row r="189" spans="1:4" x14ac:dyDescent="0.3">
      <c r="A189" t="str">
        <f t="shared" ref="A189:B189" si="158">A160</f>
        <v>Croatia</v>
      </c>
      <c r="B189" t="str">
        <f t="shared" si="158"/>
        <v>Hydro Pump Storage</v>
      </c>
      <c r="C189">
        <f t="shared" si="131"/>
        <v>7</v>
      </c>
      <c r="D189" s="1">
        <v>1000</v>
      </c>
    </row>
    <row r="190" spans="1:4" x14ac:dyDescent="0.3">
      <c r="A190" t="str">
        <f t="shared" ref="A190:B190" si="159">A161</f>
        <v>Hungary</v>
      </c>
      <c r="B190" t="str">
        <f t="shared" si="159"/>
        <v>Hydro Pump Storage</v>
      </c>
      <c r="C190">
        <f t="shared" si="131"/>
        <v>7</v>
      </c>
      <c r="D190" s="1">
        <v>0</v>
      </c>
    </row>
    <row r="191" spans="1:4" x14ac:dyDescent="0.3">
      <c r="A191" t="str">
        <f t="shared" ref="A191:B191" si="160">A162</f>
        <v>Ireland</v>
      </c>
      <c r="B191" t="str">
        <f t="shared" si="160"/>
        <v>Hydro Pump Storage</v>
      </c>
      <c r="C191">
        <f t="shared" si="131"/>
        <v>7</v>
      </c>
      <c r="D191" s="1">
        <v>2199.34</v>
      </c>
    </row>
    <row r="192" spans="1:4" x14ac:dyDescent="0.3">
      <c r="A192" t="str">
        <f t="shared" ref="A192:B192" si="161">A163</f>
        <v>Italy</v>
      </c>
      <c r="B192" t="str">
        <f t="shared" si="161"/>
        <v>Hydro Pump Storage</v>
      </c>
      <c r="C192">
        <f t="shared" si="131"/>
        <v>7</v>
      </c>
      <c r="D192" s="1">
        <v>53000</v>
      </c>
    </row>
    <row r="193" spans="1:4" x14ac:dyDescent="0.3">
      <c r="A193" t="str">
        <f t="shared" ref="A193:B193" si="162">A164</f>
        <v>Lithuania</v>
      </c>
      <c r="B193" t="str">
        <f t="shared" si="162"/>
        <v>Hydro Pump Storage</v>
      </c>
      <c r="C193">
        <f t="shared" si="131"/>
        <v>7</v>
      </c>
      <c r="D193" s="1">
        <v>1000</v>
      </c>
    </row>
    <row r="194" spans="1:4" x14ac:dyDescent="0.3">
      <c r="A194" t="str">
        <f t="shared" ref="A194:B194" si="163">A165</f>
        <v>Luxemb.</v>
      </c>
      <c r="B194" t="str">
        <f t="shared" si="163"/>
        <v>Hydro Pump Storage</v>
      </c>
      <c r="C194">
        <f t="shared" si="131"/>
        <v>7</v>
      </c>
      <c r="D194" s="1">
        <v>6120</v>
      </c>
    </row>
    <row r="195" spans="1:4" x14ac:dyDescent="0.3">
      <c r="A195" t="str">
        <f t="shared" ref="A195:B195" si="164">A166</f>
        <v>NO1</v>
      </c>
      <c r="B195" t="str">
        <f t="shared" si="164"/>
        <v>Hydro Pump Storage</v>
      </c>
      <c r="C195">
        <f t="shared" si="131"/>
        <v>7</v>
      </c>
      <c r="D195" s="1">
        <v>1417.4082000000001</v>
      </c>
    </row>
    <row r="196" spans="1:4" x14ac:dyDescent="0.3">
      <c r="A196" t="str">
        <f t="shared" ref="A196:B196" si="165">A167</f>
        <v>NO2</v>
      </c>
      <c r="B196" t="str">
        <f t="shared" si="165"/>
        <v>Hydro Pump Storage</v>
      </c>
      <c r="C196">
        <f t="shared" si="131"/>
        <v>7</v>
      </c>
      <c r="D196" s="1">
        <v>3598.0362</v>
      </c>
    </row>
    <row r="197" spans="1:4" x14ac:dyDescent="0.3">
      <c r="A197" t="str">
        <f t="shared" ref="A197:B197" si="166">A168</f>
        <v>NO3</v>
      </c>
      <c r="B197" t="str">
        <f t="shared" si="166"/>
        <v>Hydro Pump Storage</v>
      </c>
      <c r="C197">
        <f t="shared" si="131"/>
        <v>7</v>
      </c>
      <c r="D197" s="1">
        <v>1635.471</v>
      </c>
    </row>
    <row r="198" spans="1:4" x14ac:dyDescent="0.3">
      <c r="A198" t="str">
        <f t="shared" ref="A198:B198" si="167">A169</f>
        <v>NO4</v>
      </c>
      <c r="B198" t="str">
        <f t="shared" si="167"/>
        <v>Hydro Pump Storage</v>
      </c>
      <c r="C198">
        <f t="shared" si="131"/>
        <v>7</v>
      </c>
      <c r="D198" s="1">
        <v>1962.5652</v>
      </c>
    </row>
    <row r="199" spans="1:4" x14ac:dyDescent="0.3">
      <c r="A199" t="str">
        <f t="shared" ref="A199:B199" si="168">A170</f>
        <v>NO5</v>
      </c>
      <c r="B199" t="str">
        <f t="shared" si="168"/>
        <v>Hydro Pump Storage</v>
      </c>
      <c r="C199">
        <f t="shared" si="131"/>
        <v>7</v>
      </c>
      <c r="D199" s="1">
        <v>2289.6594</v>
      </c>
    </row>
    <row r="200" spans="1:4" x14ac:dyDescent="0.3">
      <c r="A200" t="str">
        <f t="shared" ref="A200:B200" si="169">A171</f>
        <v>Poland</v>
      </c>
      <c r="B200" t="str">
        <f t="shared" si="169"/>
        <v>Hydro Pump Storage</v>
      </c>
      <c r="C200">
        <f t="shared" si="131"/>
        <v>7</v>
      </c>
      <c r="D200" s="1">
        <v>10903.14</v>
      </c>
    </row>
    <row r="201" spans="1:4" x14ac:dyDescent="0.3">
      <c r="A201" t="str">
        <f t="shared" ref="A201:B201" si="170">A172</f>
        <v>Portugal</v>
      </c>
      <c r="B201" t="str">
        <f t="shared" si="170"/>
        <v>Hydro Pump Storage</v>
      </c>
      <c r="C201">
        <f t="shared" si="131"/>
        <v>7</v>
      </c>
      <c r="D201" s="1">
        <v>107254.08</v>
      </c>
    </row>
    <row r="202" spans="1:4" x14ac:dyDescent="0.3">
      <c r="A202" t="str">
        <f t="shared" ref="A202:B202" si="171">A173</f>
        <v>Romania</v>
      </c>
      <c r="B202" t="str">
        <f t="shared" si="171"/>
        <v>Hydro Pump Storage</v>
      </c>
      <c r="C202">
        <f t="shared" si="131"/>
        <v>7</v>
      </c>
      <c r="D202" s="1">
        <v>3686.3928000000001</v>
      </c>
    </row>
    <row r="203" spans="1:4" x14ac:dyDescent="0.3">
      <c r="A203" t="str">
        <f t="shared" ref="A203:B203" si="172">A174</f>
        <v>Serbia</v>
      </c>
      <c r="B203" t="str">
        <f t="shared" si="172"/>
        <v>Hydro Pump Storage</v>
      </c>
      <c r="C203">
        <f t="shared" si="131"/>
        <v>7</v>
      </c>
      <c r="D203" s="1">
        <v>1500</v>
      </c>
    </row>
    <row r="204" spans="1:4" x14ac:dyDescent="0.3">
      <c r="A204" t="str">
        <f t="shared" ref="A204:B204" si="173">A175</f>
        <v>Sweden</v>
      </c>
      <c r="B204" t="str">
        <f t="shared" si="173"/>
        <v>Hydro Pump Storage</v>
      </c>
      <c r="C204">
        <f t="shared" si="131"/>
        <v>7</v>
      </c>
      <c r="D204" s="1">
        <v>0</v>
      </c>
    </row>
    <row r="205" spans="1:4" x14ac:dyDescent="0.3">
      <c r="A205" t="str">
        <f t="shared" ref="A205:B205" si="174">A176</f>
        <v>Slovakia</v>
      </c>
      <c r="B205" t="str">
        <f t="shared" si="174"/>
        <v>Hydro Pump Storage</v>
      </c>
      <c r="C205">
        <f t="shared" si="131"/>
        <v>7</v>
      </c>
      <c r="D205" s="1">
        <v>3686.3928000000001</v>
      </c>
    </row>
    <row r="206" spans="1:4" x14ac:dyDescent="0.3">
      <c r="A206" t="str">
        <f t="shared" ref="A206:B206" si="175">A177</f>
        <v>Slovenia</v>
      </c>
      <c r="B206" t="str">
        <f t="shared" si="175"/>
        <v>Hydro Pump Storage</v>
      </c>
      <c r="C206">
        <f t="shared" si="131"/>
        <v>7</v>
      </c>
      <c r="D206" s="1">
        <v>2800</v>
      </c>
    </row>
    <row r="207" spans="1:4" x14ac:dyDescent="0.3">
      <c r="D207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68"/>
  <sheetViews>
    <sheetView workbookViewId="0"/>
  </sheetViews>
  <sheetFormatPr defaultColWidth="8.88671875" defaultRowHeight="14.4" x14ac:dyDescent="0.3"/>
  <sheetData>
    <row r="1" spans="1:4" x14ac:dyDescent="0.3">
      <c r="A1" t="s">
        <v>0</v>
      </c>
    </row>
    <row r="2" spans="1:4" x14ac:dyDescent="0.3">
      <c r="A2" t="s">
        <v>68</v>
      </c>
    </row>
    <row r="3" spans="1:4" x14ac:dyDescent="0.3">
      <c r="A3" t="s">
        <v>15</v>
      </c>
      <c r="B3" t="s">
        <v>45</v>
      </c>
      <c r="C3" t="s">
        <v>46</v>
      </c>
      <c r="D3" t="s">
        <v>69</v>
      </c>
    </row>
    <row r="4" spans="1:4" x14ac:dyDescent="0.3">
      <c r="A4" t="s">
        <v>16</v>
      </c>
      <c r="B4" t="s">
        <v>3</v>
      </c>
      <c r="C4">
        <v>1</v>
      </c>
      <c r="D4">
        <v>0</v>
      </c>
    </row>
    <row r="5" spans="1:4" x14ac:dyDescent="0.3">
      <c r="A5" t="s">
        <v>17</v>
      </c>
      <c r="B5" t="s">
        <v>3</v>
      </c>
      <c r="C5">
        <v>1</v>
      </c>
      <c r="D5">
        <v>0</v>
      </c>
    </row>
    <row r="6" spans="1:4" x14ac:dyDescent="0.3">
      <c r="A6" t="s">
        <v>18</v>
      </c>
      <c r="B6" t="s">
        <v>3</v>
      </c>
      <c r="C6">
        <v>1</v>
      </c>
      <c r="D6">
        <v>0</v>
      </c>
    </row>
    <row r="7" spans="1:4" x14ac:dyDescent="0.3">
      <c r="A7" t="s">
        <v>19</v>
      </c>
      <c r="B7" t="s">
        <v>3</v>
      </c>
      <c r="C7">
        <v>1</v>
      </c>
      <c r="D7">
        <v>0</v>
      </c>
    </row>
    <row r="8" spans="1:4" x14ac:dyDescent="0.3">
      <c r="A8" t="s">
        <v>20</v>
      </c>
      <c r="B8" t="s">
        <v>3</v>
      </c>
      <c r="C8">
        <v>1</v>
      </c>
      <c r="D8">
        <v>0</v>
      </c>
    </row>
    <row r="9" spans="1:4" x14ac:dyDescent="0.3">
      <c r="A9" t="s">
        <v>21</v>
      </c>
      <c r="B9" t="s">
        <v>3</v>
      </c>
      <c r="C9">
        <v>1</v>
      </c>
      <c r="D9">
        <v>0</v>
      </c>
    </row>
    <row r="10" spans="1:4" x14ac:dyDescent="0.3">
      <c r="A10" t="s">
        <v>22</v>
      </c>
      <c r="B10" t="s">
        <v>3</v>
      </c>
      <c r="C10">
        <v>1</v>
      </c>
      <c r="D10">
        <v>0</v>
      </c>
    </row>
    <row r="11" spans="1:4" x14ac:dyDescent="0.3">
      <c r="A11" t="s">
        <v>23</v>
      </c>
      <c r="B11" t="s">
        <v>3</v>
      </c>
      <c r="C11">
        <v>1</v>
      </c>
      <c r="D11">
        <v>0</v>
      </c>
    </row>
    <row r="12" spans="1:4" x14ac:dyDescent="0.3">
      <c r="A12" t="s">
        <v>54</v>
      </c>
      <c r="B12" t="s">
        <v>3</v>
      </c>
      <c r="C12">
        <v>1</v>
      </c>
      <c r="D12">
        <v>0</v>
      </c>
    </row>
    <row r="13" spans="1:4" x14ac:dyDescent="0.3">
      <c r="A13" t="s">
        <v>24</v>
      </c>
      <c r="B13" t="s">
        <v>3</v>
      </c>
      <c r="C13">
        <v>1</v>
      </c>
      <c r="D13">
        <v>0</v>
      </c>
    </row>
    <row r="14" spans="1:4" x14ac:dyDescent="0.3">
      <c r="A14" t="s">
        <v>25</v>
      </c>
      <c r="B14" t="s">
        <v>3</v>
      </c>
      <c r="C14">
        <v>1</v>
      </c>
      <c r="D14">
        <v>0</v>
      </c>
    </row>
    <row r="15" spans="1:4" x14ac:dyDescent="0.3">
      <c r="A15" t="s">
        <v>26</v>
      </c>
      <c r="B15" t="s">
        <v>3</v>
      </c>
      <c r="C15">
        <v>1</v>
      </c>
      <c r="D15">
        <v>0</v>
      </c>
    </row>
    <row r="16" spans="1:4" x14ac:dyDescent="0.3">
      <c r="A16" t="s">
        <v>27</v>
      </c>
      <c r="B16" t="s">
        <v>3</v>
      </c>
      <c r="C16">
        <v>1</v>
      </c>
      <c r="D16">
        <v>0</v>
      </c>
    </row>
    <row r="17" spans="1:4" x14ac:dyDescent="0.3">
      <c r="A17" t="s">
        <v>28</v>
      </c>
      <c r="B17" t="s">
        <v>3</v>
      </c>
      <c r="C17">
        <v>1</v>
      </c>
      <c r="D17">
        <v>0</v>
      </c>
    </row>
    <row r="18" spans="1:4" x14ac:dyDescent="0.3">
      <c r="A18" t="s">
        <v>29</v>
      </c>
      <c r="B18" t="s">
        <v>3</v>
      </c>
      <c r="C18">
        <v>1</v>
      </c>
      <c r="D18">
        <v>0</v>
      </c>
    </row>
    <row r="19" spans="1:4" x14ac:dyDescent="0.3">
      <c r="A19" t="s">
        <v>30</v>
      </c>
      <c r="B19" t="s">
        <v>3</v>
      </c>
      <c r="C19">
        <v>1</v>
      </c>
      <c r="D19">
        <v>0</v>
      </c>
    </row>
    <row r="20" spans="1:4" x14ac:dyDescent="0.3">
      <c r="A20" t="s">
        <v>31</v>
      </c>
      <c r="B20" t="s">
        <v>3</v>
      </c>
      <c r="C20">
        <v>1</v>
      </c>
      <c r="D20">
        <v>0</v>
      </c>
    </row>
    <row r="21" spans="1:4" x14ac:dyDescent="0.3">
      <c r="A21" t="s">
        <v>32</v>
      </c>
      <c r="B21" t="s">
        <v>3</v>
      </c>
      <c r="C21">
        <v>1</v>
      </c>
      <c r="D21">
        <v>0</v>
      </c>
    </row>
    <row r="22" spans="1:4" x14ac:dyDescent="0.3">
      <c r="A22" t="s">
        <v>55</v>
      </c>
      <c r="B22" t="s">
        <v>3</v>
      </c>
      <c r="C22">
        <v>1</v>
      </c>
      <c r="D22">
        <v>0</v>
      </c>
    </row>
    <row r="23" spans="1:4" x14ac:dyDescent="0.3">
      <c r="A23" t="s">
        <v>33</v>
      </c>
      <c r="B23" t="s">
        <v>3</v>
      </c>
      <c r="C23">
        <v>1</v>
      </c>
      <c r="D23">
        <v>0</v>
      </c>
    </row>
    <row r="24" spans="1:4" x14ac:dyDescent="0.3">
      <c r="A24" t="s">
        <v>34</v>
      </c>
      <c r="B24" t="s">
        <v>3</v>
      </c>
      <c r="C24">
        <v>1</v>
      </c>
      <c r="D24">
        <v>0</v>
      </c>
    </row>
    <row r="25" spans="1:4" x14ac:dyDescent="0.3">
      <c r="A25" t="s">
        <v>35</v>
      </c>
      <c r="B25" t="s">
        <v>3</v>
      </c>
      <c r="C25">
        <v>1</v>
      </c>
      <c r="D25">
        <v>0</v>
      </c>
    </row>
    <row r="26" spans="1:4" x14ac:dyDescent="0.3">
      <c r="A26" t="s">
        <v>36</v>
      </c>
      <c r="B26" t="s">
        <v>3</v>
      </c>
      <c r="C26">
        <v>1</v>
      </c>
      <c r="D26">
        <v>0</v>
      </c>
    </row>
    <row r="27" spans="1:4" x14ac:dyDescent="0.3">
      <c r="A27" t="s">
        <v>37</v>
      </c>
      <c r="B27" t="s">
        <v>3</v>
      </c>
      <c r="C27">
        <v>1</v>
      </c>
      <c r="D27">
        <v>0</v>
      </c>
    </row>
    <row r="28" spans="1:4" x14ac:dyDescent="0.3">
      <c r="A28" t="s">
        <v>38</v>
      </c>
      <c r="B28" t="s">
        <v>3</v>
      </c>
      <c r="C28">
        <v>1</v>
      </c>
      <c r="D28">
        <v>0</v>
      </c>
    </row>
    <row r="29" spans="1:4" x14ac:dyDescent="0.3">
      <c r="A29" t="s">
        <v>39</v>
      </c>
      <c r="B29" t="s">
        <v>3</v>
      </c>
      <c r="C29">
        <v>1</v>
      </c>
      <c r="D29">
        <v>0</v>
      </c>
    </row>
    <row r="30" spans="1:4" x14ac:dyDescent="0.3">
      <c r="A30" t="s">
        <v>40</v>
      </c>
      <c r="B30" t="s">
        <v>3</v>
      </c>
      <c r="C30">
        <v>1</v>
      </c>
      <c r="D30">
        <v>0</v>
      </c>
    </row>
    <row r="31" spans="1:4" x14ac:dyDescent="0.3">
      <c r="A31" t="s">
        <v>41</v>
      </c>
      <c r="B31" t="s">
        <v>3</v>
      </c>
      <c r="C31">
        <v>1</v>
      </c>
      <c r="D31">
        <v>0</v>
      </c>
    </row>
    <row r="32" spans="1:4" x14ac:dyDescent="0.3">
      <c r="A32" t="s">
        <v>42</v>
      </c>
      <c r="B32" t="s">
        <v>3</v>
      </c>
      <c r="C32">
        <v>1</v>
      </c>
      <c r="D32">
        <v>0</v>
      </c>
    </row>
    <row r="33" spans="1:4" x14ac:dyDescent="0.3">
      <c r="A33" t="s">
        <v>44</v>
      </c>
      <c r="B33" t="s">
        <v>3</v>
      </c>
      <c r="C33">
        <v>1</v>
      </c>
      <c r="D33">
        <v>0</v>
      </c>
    </row>
    <row r="34" spans="1:4" x14ac:dyDescent="0.3">
      <c r="A34" t="s">
        <v>16</v>
      </c>
      <c r="B34" t="s">
        <v>4</v>
      </c>
      <c r="C34">
        <v>1</v>
      </c>
      <c r="D34">
        <v>0</v>
      </c>
    </row>
    <row r="35" spans="1:4" x14ac:dyDescent="0.3">
      <c r="A35" t="s">
        <v>17</v>
      </c>
      <c r="B35" t="s">
        <v>4</v>
      </c>
      <c r="C35">
        <v>1</v>
      </c>
      <c r="D35">
        <v>0</v>
      </c>
    </row>
    <row r="36" spans="1:4" x14ac:dyDescent="0.3">
      <c r="A36" t="s">
        <v>18</v>
      </c>
      <c r="B36" t="s">
        <v>4</v>
      </c>
      <c r="C36">
        <v>1</v>
      </c>
      <c r="D36">
        <v>0</v>
      </c>
    </row>
    <row r="37" spans="1:4" x14ac:dyDescent="0.3">
      <c r="A37" t="s">
        <v>19</v>
      </c>
      <c r="B37" t="s">
        <v>4</v>
      </c>
      <c r="C37">
        <v>1</v>
      </c>
      <c r="D37">
        <v>0</v>
      </c>
    </row>
    <row r="38" spans="1:4" x14ac:dyDescent="0.3">
      <c r="A38" t="s">
        <v>20</v>
      </c>
      <c r="B38" t="s">
        <v>4</v>
      </c>
      <c r="C38">
        <v>1</v>
      </c>
      <c r="D38">
        <v>0</v>
      </c>
    </row>
    <row r="39" spans="1:4" x14ac:dyDescent="0.3">
      <c r="A39" t="s">
        <v>21</v>
      </c>
      <c r="B39" t="s">
        <v>4</v>
      </c>
      <c r="C39">
        <v>1</v>
      </c>
      <c r="D39">
        <v>0</v>
      </c>
    </row>
    <row r="40" spans="1:4" x14ac:dyDescent="0.3">
      <c r="A40" t="s">
        <v>22</v>
      </c>
      <c r="B40" t="s">
        <v>4</v>
      </c>
      <c r="C40">
        <v>1</v>
      </c>
      <c r="D40">
        <v>0</v>
      </c>
    </row>
    <row r="41" spans="1:4" x14ac:dyDescent="0.3">
      <c r="A41" t="s">
        <v>56</v>
      </c>
      <c r="B41" t="s">
        <v>4</v>
      </c>
      <c r="C41">
        <v>1</v>
      </c>
      <c r="D41">
        <v>0</v>
      </c>
    </row>
    <row r="42" spans="1:4" x14ac:dyDescent="0.3">
      <c r="A42" t="s">
        <v>57</v>
      </c>
      <c r="B42" t="s">
        <v>4</v>
      </c>
      <c r="C42">
        <v>1</v>
      </c>
      <c r="D42">
        <v>0</v>
      </c>
    </row>
    <row r="43" spans="1:4" x14ac:dyDescent="0.3">
      <c r="A43" t="s">
        <v>23</v>
      </c>
      <c r="B43" t="s">
        <v>4</v>
      </c>
      <c r="C43">
        <v>1</v>
      </c>
      <c r="D43">
        <v>0</v>
      </c>
    </row>
    <row r="44" spans="1:4" x14ac:dyDescent="0.3">
      <c r="A44" t="s">
        <v>54</v>
      </c>
      <c r="B44" t="s">
        <v>4</v>
      </c>
      <c r="C44">
        <v>1</v>
      </c>
      <c r="D44">
        <v>0</v>
      </c>
    </row>
    <row r="45" spans="1:4" x14ac:dyDescent="0.3">
      <c r="A45" t="s">
        <v>24</v>
      </c>
      <c r="B45" t="s">
        <v>4</v>
      </c>
      <c r="C45">
        <v>1</v>
      </c>
      <c r="D45">
        <v>0</v>
      </c>
    </row>
    <row r="46" spans="1:4" x14ac:dyDescent="0.3">
      <c r="A46" t="s">
        <v>25</v>
      </c>
      <c r="B46" t="s">
        <v>4</v>
      </c>
      <c r="C46">
        <v>1</v>
      </c>
      <c r="D46">
        <v>0</v>
      </c>
    </row>
    <row r="47" spans="1:4" x14ac:dyDescent="0.3">
      <c r="A47" t="s">
        <v>26</v>
      </c>
      <c r="B47" t="s">
        <v>4</v>
      </c>
      <c r="C47">
        <v>1</v>
      </c>
      <c r="D47">
        <v>0</v>
      </c>
    </row>
    <row r="48" spans="1:4" x14ac:dyDescent="0.3">
      <c r="A48" t="s">
        <v>27</v>
      </c>
      <c r="B48" t="s">
        <v>4</v>
      </c>
      <c r="C48">
        <v>1</v>
      </c>
      <c r="D48">
        <v>0</v>
      </c>
    </row>
    <row r="49" spans="1:4" x14ac:dyDescent="0.3">
      <c r="A49" t="s">
        <v>28</v>
      </c>
      <c r="B49" t="s">
        <v>4</v>
      </c>
      <c r="C49">
        <v>1</v>
      </c>
      <c r="D49">
        <v>0</v>
      </c>
    </row>
    <row r="50" spans="1:4" x14ac:dyDescent="0.3">
      <c r="A50" t="s">
        <v>29</v>
      </c>
      <c r="B50" t="s">
        <v>4</v>
      </c>
      <c r="C50">
        <v>1</v>
      </c>
      <c r="D50">
        <v>0</v>
      </c>
    </row>
    <row r="51" spans="1:4" x14ac:dyDescent="0.3">
      <c r="A51" t="s">
        <v>30</v>
      </c>
      <c r="B51" t="s">
        <v>4</v>
      </c>
      <c r="C51">
        <v>1</v>
      </c>
      <c r="D51">
        <v>0</v>
      </c>
    </row>
    <row r="52" spans="1:4" x14ac:dyDescent="0.3">
      <c r="A52" t="s">
        <v>31</v>
      </c>
      <c r="B52" t="s">
        <v>4</v>
      </c>
      <c r="C52">
        <v>1</v>
      </c>
      <c r="D52">
        <v>0</v>
      </c>
    </row>
    <row r="53" spans="1:4" x14ac:dyDescent="0.3">
      <c r="A53" t="s">
        <v>32</v>
      </c>
      <c r="B53" t="s">
        <v>4</v>
      </c>
      <c r="C53">
        <v>1</v>
      </c>
      <c r="D53">
        <v>0</v>
      </c>
    </row>
    <row r="54" spans="1:4" x14ac:dyDescent="0.3">
      <c r="A54" t="s">
        <v>58</v>
      </c>
      <c r="B54" t="s">
        <v>4</v>
      </c>
      <c r="C54">
        <v>1</v>
      </c>
      <c r="D54">
        <v>0</v>
      </c>
    </row>
    <row r="55" spans="1:4" x14ac:dyDescent="0.3">
      <c r="A55" t="s">
        <v>55</v>
      </c>
      <c r="B55" t="s">
        <v>4</v>
      </c>
      <c r="C55">
        <v>1</v>
      </c>
      <c r="D55">
        <v>0</v>
      </c>
    </row>
    <row r="56" spans="1:4" x14ac:dyDescent="0.3">
      <c r="A56" t="s">
        <v>59</v>
      </c>
      <c r="B56" t="s">
        <v>4</v>
      </c>
      <c r="C56">
        <v>1</v>
      </c>
      <c r="D56">
        <v>0</v>
      </c>
    </row>
    <row r="57" spans="1:4" x14ac:dyDescent="0.3">
      <c r="A57" t="s">
        <v>33</v>
      </c>
      <c r="B57" t="s">
        <v>4</v>
      </c>
      <c r="C57">
        <v>1</v>
      </c>
      <c r="D57">
        <v>0</v>
      </c>
    </row>
    <row r="58" spans="1:4" x14ac:dyDescent="0.3">
      <c r="A58" t="s">
        <v>34</v>
      </c>
      <c r="B58" t="s">
        <v>4</v>
      </c>
      <c r="C58">
        <v>1</v>
      </c>
      <c r="D58">
        <v>0</v>
      </c>
    </row>
    <row r="59" spans="1:4" x14ac:dyDescent="0.3">
      <c r="A59" t="s">
        <v>35</v>
      </c>
      <c r="B59" t="s">
        <v>4</v>
      </c>
      <c r="C59">
        <v>1</v>
      </c>
      <c r="D59">
        <v>0</v>
      </c>
    </row>
    <row r="60" spans="1:4" x14ac:dyDescent="0.3">
      <c r="A60" t="s">
        <v>36</v>
      </c>
      <c r="B60" t="s">
        <v>4</v>
      </c>
      <c r="C60">
        <v>1</v>
      </c>
      <c r="D60">
        <v>0</v>
      </c>
    </row>
    <row r="61" spans="1:4" x14ac:dyDescent="0.3">
      <c r="A61" t="s">
        <v>37</v>
      </c>
      <c r="B61" t="s">
        <v>4</v>
      </c>
      <c r="C61">
        <v>1</v>
      </c>
      <c r="D61">
        <v>0</v>
      </c>
    </row>
    <row r="62" spans="1:4" x14ac:dyDescent="0.3">
      <c r="A62" t="s">
        <v>38</v>
      </c>
      <c r="B62" t="s">
        <v>4</v>
      </c>
      <c r="C62">
        <v>1</v>
      </c>
      <c r="D62">
        <v>0</v>
      </c>
    </row>
    <row r="63" spans="1:4" x14ac:dyDescent="0.3">
      <c r="A63" t="s">
        <v>39</v>
      </c>
      <c r="B63" t="s">
        <v>4</v>
      </c>
      <c r="C63">
        <v>1</v>
      </c>
      <c r="D63">
        <v>0</v>
      </c>
    </row>
    <row r="64" spans="1:4" x14ac:dyDescent="0.3">
      <c r="A64" t="s">
        <v>40</v>
      </c>
      <c r="B64" t="s">
        <v>4</v>
      </c>
      <c r="C64">
        <v>1</v>
      </c>
      <c r="D64">
        <v>0</v>
      </c>
    </row>
    <row r="65" spans="1:4" x14ac:dyDescent="0.3">
      <c r="A65" t="s">
        <v>41</v>
      </c>
      <c r="B65" t="s">
        <v>4</v>
      </c>
      <c r="C65">
        <v>1</v>
      </c>
      <c r="D65">
        <v>0</v>
      </c>
    </row>
    <row r="66" spans="1:4" x14ac:dyDescent="0.3">
      <c r="A66" t="s">
        <v>42</v>
      </c>
      <c r="B66" t="s">
        <v>4</v>
      </c>
      <c r="C66">
        <v>1</v>
      </c>
      <c r="D66">
        <v>0</v>
      </c>
    </row>
    <row r="67" spans="1:4" x14ac:dyDescent="0.3">
      <c r="A67" t="s">
        <v>43</v>
      </c>
      <c r="B67" t="s">
        <v>4</v>
      </c>
      <c r="C67">
        <v>1</v>
      </c>
      <c r="D67">
        <v>0</v>
      </c>
    </row>
    <row r="68" spans="1:4" x14ac:dyDescent="0.3">
      <c r="A68" t="s">
        <v>44</v>
      </c>
      <c r="B68" t="s">
        <v>4</v>
      </c>
      <c r="C68">
        <v>1</v>
      </c>
      <c r="D68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67"/>
  <sheetViews>
    <sheetView topLeftCell="A3" workbookViewId="0">
      <selection activeCell="K35" sqref="K35"/>
    </sheetView>
  </sheetViews>
  <sheetFormatPr defaultColWidth="8.88671875" defaultRowHeight="14.4" x14ac:dyDescent="0.3"/>
  <cols>
    <col min="3" max="3" width="14" bestFit="1" customWidth="1"/>
  </cols>
  <sheetData>
    <row r="1" spans="1:3" x14ac:dyDescent="0.3">
      <c r="A1" t="s">
        <v>70</v>
      </c>
    </row>
    <row r="2" spans="1:3" x14ac:dyDescent="0.3">
      <c r="A2" t="s">
        <v>71</v>
      </c>
    </row>
    <row r="3" spans="1:3" x14ac:dyDescent="0.3">
      <c r="A3" t="s">
        <v>15</v>
      </c>
      <c r="B3" t="s">
        <v>45</v>
      </c>
      <c r="C3" t="s">
        <v>72</v>
      </c>
    </row>
    <row r="4" spans="1:3" x14ac:dyDescent="0.3">
      <c r="A4" t="s">
        <v>16</v>
      </c>
      <c r="B4" t="s">
        <v>3</v>
      </c>
      <c r="C4">
        <v>137174.40000000002</v>
      </c>
    </row>
    <row r="5" spans="1:3" x14ac:dyDescent="0.3">
      <c r="A5" t="s">
        <v>17</v>
      </c>
      <c r="B5" t="s">
        <v>3</v>
      </c>
      <c r="C5">
        <v>2419.2740000000003</v>
      </c>
    </row>
    <row r="6" spans="1:3" x14ac:dyDescent="0.3">
      <c r="A6" t="s">
        <v>18</v>
      </c>
      <c r="B6" t="s">
        <v>3</v>
      </c>
      <c r="C6">
        <v>8538.75</v>
      </c>
    </row>
    <row r="7" spans="1:3" x14ac:dyDescent="0.3">
      <c r="A7" t="s">
        <v>19</v>
      </c>
      <c r="B7" t="s">
        <v>3</v>
      </c>
      <c r="C7">
        <v>5720.0000000000009</v>
      </c>
    </row>
    <row r="8" spans="1:3" x14ac:dyDescent="0.3">
      <c r="A8" t="s">
        <v>20</v>
      </c>
      <c r="B8" t="s">
        <v>3</v>
      </c>
      <c r="C8">
        <v>73487.700000000012</v>
      </c>
    </row>
    <row r="9" spans="1:3" x14ac:dyDescent="0.3">
      <c r="A9" t="s">
        <v>21</v>
      </c>
      <c r="B9" t="s">
        <v>3</v>
      </c>
      <c r="C9">
        <v>7395.85</v>
      </c>
    </row>
    <row r="10" spans="1:3" x14ac:dyDescent="0.3">
      <c r="A10" t="s">
        <v>22</v>
      </c>
      <c r="B10" t="s">
        <v>3</v>
      </c>
      <c r="C10">
        <v>42488.600000000006</v>
      </c>
    </row>
    <row r="11" spans="1:3" x14ac:dyDescent="0.3">
      <c r="A11" t="s">
        <v>23</v>
      </c>
      <c r="B11" t="s">
        <v>3</v>
      </c>
      <c r="C11">
        <v>168317.50100000002</v>
      </c>
    </row>
    <row r="12" spans="1:3" x14ac:dyDescent="0.3">
      <c r="A12" t="s">
        <v>24</v>
      </c>
      <c r="B12" t="s">
        <v>3</v>
      </c>
      <c r="C12">
        <v>202725.6</v>
      </c>
    </row>
    <row r="13" spans="1:3" x14ac:dyDescent="0.3">
      <c r="A13" t="s">
        <v>25</v>
      </c>
      <c r="B13" t="s">
        <v>3</v>
      </c>
      <c r="C13">
        <v>36775.200000000004</v>
      </c>
    </row>
    <row r="14" spans="1:3" x14ac:dyDescent="0.3">
      <c r="A14" t="s">
        <v>26</v>
      </c>
      <c r="B14" t="s">
        <v>3</v>
      </c>
      <c r="C14">
        <v>4950</v>
      </c>
    </row>
    <row r="15" spans="1:3" x14ac:dyDescent="0.3">
      <c r="A15" t="s">
        <v>27</v>
      </c>
      <c r="B15" t="s">
        <v>3</v>
      </c>
      <c r="C15">
        <v>1100</v>
      </c>
    </row>
    <row r="16" spans="1:3" x14ac:dyDescent="0.3">
      <c r="A16" t="s">
        <v>28</v>
      </c>
      <c r="B16" t="s">
        <v>3</v>
      </c>
      <c r="C16">
        <v>0</v>
      </c>
    </row>
    <row r="17" spans="1:3" x14ac:dyDescent="0.3">
      <c r="A17" t="s">
        <v>29</v>
      </c>
      <c r="B17" t="s">
        <v>3</v>
      </c>
      <c r="C17">
        <v>2419.2740000000003</v>
      </c>
    </row>
    <row r="18" spans="1:3" x14ac:dyDescent="0.3">
      <c r="A18" t="s">
        <v>30</v>
      </c>
      <c r="B18" t="s">
        <v>3</v>
      </c>
      <c r="C18">
        <v>58300.000000000007</v>
      </c>
    </row>
    <row r="19" spans="1:3" x14ac:dyDescent="0.3">
      <c r="A19" t="s">
        <v>31</v>
      </c>
      <c r="B19" t="s">
        <v>3</v>
      </c>
      <c r="C19">
        <v>1100</v>
      </c>
    </row>
    <row r="20" spans="1:3" x14ac:dyDescent="0.3">
      <c r="A20" t="s">
        <v>32</v>
      </c>
      <c r="B20" t="s">
        <v>3</v>
      </c>
      <c r="C20">
        <v>6732.0000000000009</v>
      </c>
    </row>
    <row r="21" spans="1:3" x14ac:dyDescent="0.3">
      <c r="A21" t="s">
        <v>33</v>
      </c>
      <c r="B21" t="s">
        <v>3</v>
      </c>
      <c r="C21">
        <v>1559.1490200000003</v>
      </c>
    </row>
    <row r="22" spans="1:3" x14ac:dyDescent="0.3">
      <c r="A22" t="s">
        <v>34</v>
      </c>
      <c r="B22" t="s">
        <v>3</v>
      </c>
      <c r="C22">
        <v>3957.8398200000001</v>
      </c>
    </row>
    <row r="23" spans="1:3" x14ac:dyDescent="0.3">
      <c r="A23" t="s">
        <v>35</v>
      </c>
      <c r="B23" t="s">
        <v>3</v>
      </c>
      <c r="C23">
        <v>1799.0181000000002</v>
      </c>
    </row>
    <row r="24" spans="1:3" x14ac:dyDescent="0.3">
      <c r="A24" t="s">
        <v>36</v>
      </c>
      <c r="B24" t="s">
        <v>3</v>
      </c>
      <c r="C24">
        <v>2158.8217200000004</v>
      </c>
    </row>
    <row r="25" spans="1:3" x14ac:dyDescent="0.3">
      <c r="A25" t="s">
        <v>37</v>
      </c>
      <c r="B25" t="s">
        <v>3</v>
      </c>
      <c r="C25">
        <v>2518.6253400000001</v>
      </c>
    </row>
    <row r="26" spans="1:3" x14ac:dyDescent="0.3">
      <c r="A26" t="s">
        <v>38</v>
      </c>
      <c r="B26" t="s">
        <v>3</v>
      </c>
      <c r="C26">
        <v>11993.454</v>
      </c>
    </row>
    <row r="27" spans="1:3" x14ac:dyDescent="0.3">
      <c r="A27" t="s">
        <v>39</v>
      </c>
      <c r="B27" t="s">
        <v>3</v>
      </c>
      <c r="C27">
        <v>117979.48800000001</v>
      </c>
    </row>
    <row r="28" spans="1:3" x14ac:dyDescent="0.3">
      <c r="A28" t="s">
        <v>40</v>
      </c>
      <c r="B28" t="s">
        <v>3</v>
      </c>
      <c r="C28">
        <v>4055.0320800000004</v>
      </c>
    </row>
    <row r="29" spans="1:3" x14ac:dyDescent="0.3">
      <c r="A29" t="s">
        <v>41</v>
      </c>
      <c r="B29" t="s">
        <v>3</v>
      </c>
      <c r="C29">
        <v>1650.0000000000002</v>
      </c>
    </row>
    <row r="30" spans="1:3" x14ac:dyDescent="0.3">
      <c r="A30" t="s">
        <v>42</v>
      </c>
      <c r="B30" t="s">
        <v>3</v>
      </c>
      <c r="C30">
        <v>0</v>
      </c>
    </row>
    <row r="31" spans="1:3" x14ac:dyDescent="0.3">
      <c r="A31" t="s">
        <v>44</v>
      </c>
      <c r="B31" t="s">
        <v>3</v>
      </c>
      <c r="C31">
        <v>4055.0320800000004</v>
      </c>
    </row>
    <row r="32" spans="1:3" x14ac:dyDescent="0.3">
      <c r="A32" t="s">
        <v>43</v>
      </c>
      <c r="B32" t="s">
        <v>3</v>
      </c>
      <c r="C32">
        <v>3080.0000000000005</v>
      </c>
    </row>
    <row r="33" spans="1:3" x14ac:dyDescent="0.3">
      <c r="A33" t="s">
        <v>16</v>
      </c>
      <c r="B33" t="s">
        <v>4</v>
      </c>
      <c r="C33">
        <v>20000000</v>
      </c>
    </row>
    <row r="34" spans="1:3" x14ac:dyDescent="0.3">
      <c r="A34" t="s">
        <v>17</v>
      </c>
      <c r="B34" t="s">
        <v>4</v>
      </c>
      <c r="C34">
        <v>20000000</v>
      </c>
    </row>
    <row r="35" spans="1:3" x14ac:dyDescent="0.3">
      <c r="A35" t="s">
        <v>18</v>
      </c>
      <c r="B35" t="s">
        <v>4</v>
      </c>
      <c r="C35">
        <v>20000000</v>
      </c>
    </row>
    <row r="36" spans="1:3" x14ac:dyDescent="0.3">
      <c r="A36" t="s">
        <v>19</v>
      </c>
      <c r="B36" t="s">
        <v>4</v>
      </c>
      <c r="C36">
        <v>20000000</v>
      </c>
    </row>
    <row r="37" spans="1:3" x14ac:dyDescent="0.3">
      <c r="A37" t="s">
        <v>20</v>
      </c>
      <c r="B37" t="s">
        <v>4</v>
      </c>
      <c r="C37">
        <v>20000000</v>
      </c>
    </row>
    <row r="38" spans="1:3" x14ac:dyDescent="0.3">
      <c r="A38" t="s">
        <v>21</v>
      </c>
      <c r="B38" t="s">
        <v>4</v>
      </c>
      <c r="C38">
        <v>20000000</v>
      </c>
    </row>
    <row r="39" spans="1:3" x14ac:dyDescent="0.3">
      <c r="A39" t="s">
        <v>22</v>
      </c>
      <c r="B39" t="s">
        <v>4</v>
      </c>
      <c r="C39">
        <v>20000000</v>
      </c>
    </row>
    <row r="40" spans="1:3" x14ac:dyDescent="0.3">
      <c r="A40" t="s">
        <v>56</v>
      </c>
      <c r="B40" t="s">
        <v>4</v>
      </c>
      <c r="C40">
        <v>20000000</v>
      </c>
    </row>
    <row r="41" spans="1:3" x14ac:dyDescent="0.3">
      <c r="A41" t="s">
        <v>57</v>
      </c>
      <c r="B41" t="s">
        <v>4</v>
      </c>
      <c r="C41">
        <v>20000000</v>
      </c>
    </row>
    <row r="42" spans="1:3" x14ac:dyDescent="0.3">
      <c r="A42" t="s">
        <v>23</v>
      </c>
      <c r="B42" t="s">
        <v>4</v>
      </c>
      <c r="C42">
        <v>20000000</v>
      </c>
    </row>
    <row r="43" spans="1:3" x14ac:dyDescent="0.3">
      <c r="A43" t="s">
        <v>54</v>
      </c>
      <c r="B43" t="s">
        <v>4</v>
      </c>
      <c r="C43">
        <v>20000000</v>
      </c>
    </row>
    <row r="44" spans="1:3" x14ac:dyDescent="0.3">
      <c r="A44" t="s">
        <v>24</v>
      </c>
      <c r="B44" t="s">
        <v>4</v>
      </c>
      <c r="C44">
        <v>20000000</v>
      </c>
    </row>
    <row r="45" spans="1:3" x14ac:dyDescent="0.3">
      <c r="A45" t="s">
        <v>25</v>
      </c>
      <c r="B45" t="s">
        <v>4</v>
      </c>
      <c r="C45">
        <v>20000000</v>
      </c>
    </row>
    <row r="46" spans="1:3" x14ac:dyDescent="0.3">
      <c r="A46" t="s">
        <v>26</v>
      </c>
      <c r="B46" t="s">
        <v>4</v>
      </c>
      <c r="C46">
        <v>20000000</v>
      </c>
    </row>
    <row r="47" spans="1:3" x14ac:dyDescent="0.3">
      <c r="A47" t="s">
        <v>27</v>
      </c>
      <c r="B47" t="s">
        <v>4</v>
      </c>
      <c r="C47">
        <v>20000000</v>
      </c>
    </row>
    <row r="48" spans="1:3" x14ac:dyDescent="0.3">
      <c r="A48" t="s">
        <v>28</v>
      </c>
      <c r="B48" t="s">
        <v>4</v>
      </c>
      <c r="C48">
        <v>20000000</v>
      </c>
    </row>
    <row r="49" spans="1:3" x14ac:dyDescent="0.3">
      <c r="A49" t="s">
        <v>29</v>
      </c>
      <c r="B49" t="s">
        <v>4</v>
      </c>
      <c r="C49">
        <v>20000000</v>
      </c>
    </row>
    <row r="50" spans="1:3" x14ac:dyDescent="0.3">
      <c r="A50" t="s">
        <v>30</v>
      </c>
      <c r="B50" t="s">
        <v>4</v>
      </c>
      <c r="C50">
        <v>20000000</v>
      </c>
    </row>
    <row r="51" spans="1:3" x14ac:dyDescent="0.3">
      <c r="A51" t="s">
        <v>31</v>
      </c>
      <c r="B51" t="s">
        <v>4</v>
      </c>
      <c r="C51">
        <v>20000000</v>
      </c>
    </row>
    <row r="52" spans="1:3" x14ac:dyDescent="0.3">
      <c r="A52" t="s">
        <v>32</v>
      </c>
      <c r="B52" t="s">
        <v>4</v>
      </c>
      <c r="C52">
        <v>20000000</v>
      </c>
    </row>
    <row r="53" spans="1:3" x14ac:dyDescent="0.3">
      <c r="A53" t="s">
        <v>58</v>
      </c>
      <c r="B53" t="s">
        <v>4</v>
      </c>
      <c r="C53">
        <v>20000000</v>
      </c>
    </row>
    <row r="54" spans="1:3" x14ac:dyDescent="0.3">
      <c r="A54" t="s">
        <v>55</v>
      </c>
      <c r="B54" t="s">
        <v>4</v>
      </c>
      <c r="C54">
        <v>20000000</v>
      </c>
    </row>
    <row r="55" spans="1:3" x14ac:dyDescent="0.3">
      <c r="A55" t="s">
        <v>59</v>
      </c>
      <c r="B55" t="s">
        <v>4</v>
      </c>
      <c r="C55">
        <v>20000000</v>
      </c>
    </row>
    <row r="56" spans="1:3" x14ac:dyDescent="0.3">
      <c r="A56" t="s">
        <v>33</v>
      </c>
      <c r="B56" t="s">
        <v>4</v>
      </c>
      <c r="C56">
        <v>20000000</v>
      </c>
    </row>
    <row r="57" spans="1:3" x14ac:dyDescent="0.3">
      <c r="A57" t="s">
        <v>34</v>
      </c>
      <c r="B57" t="s">
        <v>4</v>
      </c>
      <c r="C57">
        <v>20000000</v>
      </c>
    </row>
    <row r="58" spans="1:3" x14ac:dyDescent="0.3">
      <c r="A58" t="s">
        <v>35</v>
      </c>
      <c r="B58" t="s">
        <v>4</v>
      </c>
      <c r="C58">
        <v>20000000</v>
      </c>
    </row>
    <row r="59" spans="1:3" x14ac:dyDescent="0.3">
      <c r="A59" t="s">
        <v>36</v>
      </c>
      <c r="B59" t="s">
        <v>4</v>
      </c>
      <c r="C59">
        <v>20000000</v>
      </c>
    </row>
    <row r="60" spans="1:3" x14ac:dyDescent="0.3">
      <c r="A60" t="s">
        <v>37</v>
      </c>
      <c r="B60" t="s">
        <v>4</v>
      </c>
      <c r="C60">
        <v>20000000</v>
      </c>
    </row>
    <row r="61" spans="1:3" x14ac:dyDescent="0.3">
      <c r="A61" t="s">
        <v>38</v>
      </c>
      <c r="B61" t="s">
        <v>4</v>
      </c>
      <c r="C61">
        <v>20000000</v>
      </c>
    </row>
    <row r="62" spans="1:3" x14ac:dyDescent="0.3">
      <c r="A62" t="s">
        <v>39</v>
      </c>
      <c r="B62" t="s">
        <v>4</v>
      </c>
      <c r="C62">
        <v>20000000</v>
      </c>
    </row>
    <row r="63" spans="1:3" x14ac:dyDescent="0.3">
      <c r="A63" t="s">
        <v>40</v>
      </c>
      <c r="B63" t="s">
        <v>4</v>
      </c>
      <c r="C63">
        <v>20000000</v>
      </c>
    </row>
    <row r="64" spans="1:3" x14ac:dyDescent="0.3">
      <c r="A64" t="s">
        <v>41</v>
      </c>
      <c r="B64" t="s">
        <v>4</v>
      </c>
      <c r="C64">
        <v>20000000</v>
      </c>
    </row>
    <row r="65" spans="1:3" x14ac:dyDescent="0.3">
      <c r="A65" t="s">
        <v>42</v>
      </c>
      <c r="B65" t="s">
        <v>4</v>
      </c>
      <c r="C65">
        <v>20000000</v>
      </c>
    </row>
    <row r="66" spans="1:3" x14ac:dyDescent="0.3">
      <c r="A66" t="s">
        <v>43</v>
      </c>
      <c r="B66" t="s">
        <v>4</v>
      </c>
      <c r="C66">
        <v>20000000</v>
      </c>
    </row>
    <row r="67" spans="1:3" x14ac:dyDescent="0.3">
      <c r="A67" t="s">
        <v>44</v>
      </c>
      <c r="B67" t="s">
        <v>4</v>
      </c>
      <c r="C67">
        <v>20000000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67"/>
  <sheetViews>
    <sheetView workbookViewId="0">
      <selection activeCell="D12" sqref="D12"/>
    </sheetView>
  </sheetViews>
  <sheetFormatPr defaultColWidth="8.88671875" defaultRowHeight="14.4" x14ac:dyDescent="0.3"/>
  <sheetData>
    <row r="1" spans="1:3" x14ac:dyDescent="0.3">
      <c r="A1" t="s">
        <v>73</v>
      </c>
    </row>
    <row r="2" spans="1:3" x14ac:dyDescent="0.3">
      <c r="A2" t="s">
        <v>74</v>
      </c>
    </row>
    <row r="3" spans="1:3" x14ac:dyDescent="0.3">
      <c r="A3" t="s">
        <v>15</v>
      </c>
      <c r="B3" t="s">
        <v>45</v>
      </c>
      <c r="C3" t="s">
        <v>75</v>
      </c>
    </row>
    <row r="4" spans="1:3" x14ac:dyDescent="0.3">
      <c r="A4" t="s">
        <v>16</v>
      </c>
      <c r="B4" t="s">
        <v>3</v>
      </c>
      <c r="C4">
        <v>5254.92</v>
      </c>
    </row>
    <row r="5" spans="1:3" x14ac:dyDescent="0.3">
      <c r="A5" t="s">
        <v>18</v>
      </c>
      <c r="B5" t="s">
        <v>3</v>
      </c>
      <c r="C5">
        <v>1962</v>
      </c>
    </row>
    <row r="6" spans="1:3" x14ac:dyDescent="0.3">
      <c r="A6" t="s">
        <v>17</v>
      </c>
      <c r="B6" t="s">
        <v>3</v>
      </c>
      <c r="C6">
        <v>660</v>
      </c>
    </row>
    <row r="7" spans="1:3" x14ac:dyDescent="0.3">
      <c r="A7" t="s">
        <v>19</v>
      </c>
      <c r="B7" t="s">
        <v>3</v>
      </c>
      <c r="C7">
        <v>1296</v>
      </c>
    </row>
    <row r="8" spans="1:3" x14ac:dyDescent="0.3">
      <c r="A8" t="s">
        <v>27</v>
      </c>
      <c r="B8" t="s">
        <v>3</v>
      </c>
      <c r="C8">
        <v>421.5</v>
      </c>
    </row>
    <row r="9" spans="1:3" x14ac:dyDescent="0.3">
      <c r="A9" t="s">
        <v>21</v>
      </c>
      <c r="B9" t="s">
        <v>3</v>
      </c>
      <c r="C9">
        <v>1758</v>
      </c>
    </row>
    <row r="10" spans="1:3" x14ac:dyDescent="0.3">
      <c r="A10" t="s">
        <v>24</v>
      </c>
      <c r="B10" t="s">
        <v>3</v>
      </c>
      <c r="C10">
        <v>7574.9400000000005</v>
      </c>
    </row>
    <row r="11" spans="1:3" x14ac:dyDescent="0.3">
      <c r="A11" t="s">
        <v>22</v>
      </c>
      <c r="B11" t="s">
        <v>3</v>
      </c>
      <c r="C11">
        <v>13920.36</v>
      </c>
    </row>
    <row r="12" spans="1:3" x14ac:dyDescent="0.3">
      <c r="A12" t="s">
        <v>25</v>
      </c>
      <c r="B12" t="s">
        <v>3</v>
      </c>
      <c r="C12">
        <v>4116</v>
      </c>
    </row>
    <row r="13" spans="1:3" x14ac:dyDescent="0.3">
      <c r="A13" t="s">
        <v>26</v>
      </c>
      <c r="B13" t="s">
        <v>3</v>
      </c>
      <c r="C13">
        <v>1048.5</v>
      </c>
    </row>
    <row r="14" spans="1:3" x14ac:dyDescent="0.3">
      <c r="A14" t="s">
        <v>28</v>
      </c>
      <c r="B14" t="s">
        <v>3</v>
      </c>
      <c r="C14">
        <v>0</v>
      </c>
    </row>
    <row r="15" spans="1:3" x14ac:dyDescent="0.3">
      <c r="A15" t="s">
        <v>29</v>
      </c>
      <c r="B15" t="s">
        <v>3</v>
      </c>
      <c r="C15">
        <v>438</v>
      </c>
    </row>
    <row r="16" spans="1:3" x14ac:dyDescent="0.3">
      <c r="A16" t="s">
        <v>30</v>
      </c>
      <c r="B16" t="s">
        <v>3</v>
      </c>
      <c r="C16">
        <v>10884</v>
      </c>
    </row>
    <row r="17" spans="1:3" x14ac:dyDescent="0.3">
      <c r="A17" t="s">
        <v>31</v>
      </c>
      <c r="B17" t="s">
        <v>3</v>
      </c>
      <c r="C17">
        <v>1350</v>
      </c>
    </row>
    <row r="18" spans="1:3" x14ac:dyDescent="0.3">
      <c r="A18" t="s">
        <v>32</v>
      </c>
      <c r="B18" t="s">
        <v>3</v>
      </c>
      <c r="C18">
        <v>0</v>
      </c>
    </row>
    <row r="19" spans="1:3" x14ac:dyDescent="0.3">
      <c r="A19" t="s">
        <v>33</v>
      </c>
      <c r="B19" t="s">
        <v>3</v>
      </c>
      <c r="C19">
        <v>207.6165</v>
      </c>
    </row>
    <row r="20" spans="1:3" x14ac:dyDescent="0.3">
      <c r="A20" t="s">
        <v>34</v>
      </c>
      <c r="B20" t="s">
        <v>3</v>
      </c>
      <c r="C20">
        <v>527.02650000000017</v>
      </c>
    </row>
    <row r="21" spans="1:3" x14ac:dyDescent="0.3">
      <c r="A21" t="s">
        <v>35</v>
      </c>
      <c r="B21" t="s">
        <v>3</v>
      </c>
      <c r="C21">
        <v>239.5575</v>
      </c>
    </row>
    <row r="22" spans="1:3" x14ac:dyDescent="0.3">
      <c r="A22" t="s">
        <v>36</v>
      </c>
      <c r="B22" t="s">
        <v>3</v>
      </c>
      <c r="C22">
        <v>287.46899999999999</v>
      </c>
    </row>
    <row r="23" spans="1:3" x14ac:dyDescent="0.3">
      <c r="A23" t="s">
        <v>37</v>
      </c>
      <c r="B23" t="s">
        <v>3</v>
      </c>
      <c r="C23">
        <v>351.351</v>
      </c>
    </row>
    <row r="24" spans="1:3" x14ac:dyDescent="0.3">
      <c r="A24" t="s">
        <v>38</v>
      </c>
      <c r="B24" t="s">
        <v>3</v>
      </c>
      <c r="C24">
        <v>2386.8150000000001</v>
      </c>
    </row>
    <row r="25" spans="1:3" x14ac:dyDescent="0.3">
      <c r="A25" t="s">
        <v>39</v>
      </c>
      <c r="B25" t="s">
        <v>3</v>
      </c>
      <c r="C25">
        <v>4241.1000000000004</v>
      </c>
    </row>
    <row r="26" spans="1:3" x14ac:dyDescent="0.3">
      <c r="A26" t="s">
        <v>40</v>
      </c>
      <c r="B26" t="s">
        <v>3</v>
      </c>
      <c r="C26">
        <v>0</v>
      </c>
    </row>
    <row r="27" spans="1:3" x14ac:dyDescent="0.3">
      <c r="A27" t="s">
        <v>41</v>
      </c>
      <c r="B27" t="s">
        <v>3</v>
      </c>
      <c r="C27">
        <v>963</v>
      </c>
    </row>
    <row r="28" spans="1:3" x14ac:dyDescent="0.3">
      <c r="A28" t="s">
        <v>44</v>
      </c>
      <c r="B28" t="s">
        <v>3</v>
      </c>
      <c r="C28">
        <v>1524</v>
      </c>
    </row>
    <row r="29" spans="1:3" x14ac:dyDescent="0.3">
      <c r="A29" t="s">
        <v>43</v>
      </c>
      <c r="B29" t="s">
        <v>3</v>
      </c>
      <c r="C29">
        <v>270</v>
      </c>
    </row>
    <row r="30" spans="1:3" x14ac:dyDescent="0.3">
      <c r="A30" t="s">
        <v>23</v>
      </c>
      <c r="B30" t="s">
        <v>3</v>
      </c>
      <c r="C30">
        <v>8543.0999999999985</v>
      </c>
    </row>
    <row r="31" spans="1:3" x14ac:dyDescent="0.3">
      <c r="A31" t="s">
        <v>42</v>
      </c>
      <c r="B31" t="s">
        <v>3</v>
      </c>
      <c r="C31">
        <v>0</v>
      </c>
    </row>
    <row r="32" spans="1:3" x14ac:dyDescent="0.3">
      <c r="A32" t="s">
        <v>20</v>
      </c>
      <c r="B32" t="s">
        <v>3</v>
      </c>
      <c r="C32">
        <v>10021.049999999999</v>
      </c>
    </row>
    <row r="33" spans="1:3" x14ac:dyDescent="0.3">
      <c r="A33" t="s">
        <v>16</v>
      </c>
      <c r="B33" t="s">
        <v>4</v>
      </c>
      <c r="C33">
        <v>20000000</v>
      </c>
    </row>
    <row r="34" spans="1:3" x14ac:dyDescent="0.3">
      <c r="A34" t="s">
        <v>17</v>
      </c>
      <c r="B34" t="s">
        <v>4</v>
      </c>
      <c r="C34">
        <v>20000000</v>
      </c>
    </row>
    <row r="35" spans="1:3" x14ac:dyDescent="0.3">
      <c r="A35" t="s">
        <v>18</v>
      </c>
      <c r="B35" t="s">
        <v>4</v>
      </c>
      <c r="C35">
        <v>20000000</v>
      </c>
    </row>
    <row r="36" spans="1:3" x14ac:dyDescent="0.3">
      <c r="A36" t="s">
        <v>19</v>
      </c>
      <c r="B36" t="s">
        <v>4</v>
      </c>
      <c r="C36">
        <v>20000000</v>
      </c>
    </row>
    <row r="37" spans="1:3" x14ac:dyDescent="0.3">
      <c r="A37" t="s">
        <v>20</v>
      </c>
      <c r="B37" t="s">
        <v>4</v>
      </c>
      <c r="C37">
        <v>20000000</v>
      </c>
    </row>
    <row r="38" spans="1:3" x14ac:dyDescent="0.3">
      <c r="A38" t="s">
        <v>21</v>
      </c>
      <c r="B38" t="s">
        <v>4</v>
      </c>
      <c r="C38">
        <v>20000000</v>
      </c>
    </row>
    <row r="39" spans="1:3" x14ac:dyDescent="0.3">
      <c r="A39" t="s">
        <v>22</v>
      </c>
      <c r="B39" t="s">
        <v>4</v>
      </c>
      <c r="C39">
        <v>20000000</v>
      </c>
    </row>
    <row r="40" spans="1:3" x14ac:dyDescent="0.3">
      <c r="A40" t="s">
        <v>56</v>
      </c>
      <c r="B40" t="s">
        <v>4</v>
      </c>
      <c r="C40">
        <v>20000000</v>
      </c>
    </row>
    <row r="41" spans="1:3" x14ac:dyDescent="0.3">
      <c r="A41" t="s">
        <v>57</v>
      </c>
      <c r="B41" t="s">
        <v>4</v>
      </c>
      <c r="C41">
        <v>20000000</v>
      </c>
    </row>
    <row r="42" spans="1:3" x14ac:dyDescent="0.3">
      <c r="A42" t="s">
        <v>23</v>
      </c>
      <c r="B42" t="s">
        <v>4</v>
      </c>
      <c r="C42">
        <v>20000000</v>
      </c>
    </row>
    <row r="43" spans="1:3" x14ac:dyDescent="0.3">
      <c r="A43" t="s">
        <v>54</v>
      </c>
      <c r="B43" t="s">
        <v>4</v>
      </c>
      <c r="C43">
        <v>20000000</v>
      </c>
    </row>
    <row r="44" spans="1:3" x14ac:dyDescent="0.3">
      <c r="A44" t="s">
        <v>24</v>
      </c>
      <c r="B44" t="s">
        <v>4</v>
      </c>
      <c r="C44">
        <v>20000000</v>
      </c>
    </row>
    <row r="45" spans="1:3" x14ac:dyDescent="0.3">
      <c r="A45" t="s">
        <v>25</v>
      </c>
      <c r="B45" t="s">
        <v>4</v>
      </c>
      <c r="C45">
        <v>20000000</v>
      </c>
    </row>
    <row r="46" spans="1:3" x14ac:dyDescent="0.3">
      <c r="A46" t="s">
        <v>26</v>
      </c>
      <c r="B46" t="s">
        <v>4</v>
      </c>
      <c r="C46">
        <v>20000000</v>
      </c>
    </row>
    <row r="47" spans="1:3" x14ac:dyDescent="0.3">
      <c r="A47" t="s">
        <v>27</v>
      </c>
      <c r="B47" t="s">
        <v>4</v>
      </c>
      <c r="C47">
        <v>20000000</v>
      </c>
    </row>
    <row r="48" spans="1:3" x14ac:dyDescent="0.3">
      <c r="A48" t="s">
        <v>28</v>
      </c>
      <c r="B48" t="s">
        <v>4</v>
      </c>
      <c r="C48">
        <v>20000000</v>
      </c>
    </row>
    <row r="49" spans="1:3" x14ac:dyDescent="0.3">
      <c r="A49" t="s">
        <v>29</v>
      </c>
      <c r="B49" t="s">
        <v>4</v>
      </c>
      <c r="C49">
        <v>20000000</v>
      </c>
    </row>
    <row r="50" spans="1:3" x14ac:dyDescent="0.3">
      <c r="A50" t="s">
        <v>30</v>
      </c>
      <c r="B50" t="s">
        <v>4</v>
      </c>
      <c r="C50">
        <v>20000000</v>
      </c>
    </row>
    <row r="51" spans="1:3" x14ac:dyDescent="0.3">
      <c r="A51" t="s">
        <v>31</v>
      </c>
      <c r="B51" t="s">
        <v>4</v>
      </c>
      <c r="C51">
        <v>20000000</v>
      </c>
    </row>
    <row r="52" spans="1:3" x14ac:dyDescent="0.3">
      <c r="A52" t="s">
        <v>32</v>
      </c>
      <c r="B52" t="s">
        <v>4</v>
      </c>
      <c r="C52">
        <v>20000000</v>
      </c>
    </row>
    <row r="53" spans="1:3" x14ac:dyDescent="0.3">
      <c r="A53" t="s">
        <v>58</v>
      </c>
      <c r="B53" t="s">
        <v>4</v>
      </c>
      <c r="C53">
        <v>20000000</v>
      </c>
    </row>
    <row r="54" spans="1:3" x14ac:dyDescent="0.3">
      <c r="A54" t="s">
        <v>55</v>
      </c>
      <c r="B54" t="s">
        <v>4</v>
      </c>
      <c r="C54">
        <v>20000000</v>
      </c>
    </row>
    <row r="55" spans="1:3" x14ac:dyDescent="0.3">
      <c r="A55" t="s">
        <v>59</v>
      </c>
      <c r="B55" t="s">
        <v>4</v>
      </c>
      <c r="C55">
        <v>20000000</v>
      </c>
    </row>
    <row r="56" spans="1:3" x14ac:dyDescent="0.3">
      <c r="A56" t="s">
        <v>33</v>
      </c>
      <c r="B56" t="s">
        <v>4</v>
      </c>
      <c r="C56">
        <v>20000000</v>
      </c>
    </row>
    <row r="57" spans="1:3" x14ac:dyDescent="0.3">
      <c r="A57" t="s">
        <v>34</v>
      </c>
      <c r="B57" t="s">
        <v>4</v>
      </c>
      <c r="C57">
        <v>20000000</v>
      </c>
    </row>
    <row r="58" spans="1:3" x14ac:dyDescent="0.3">
      <c r="A58" t="s">
        <v>35</v>
      </c>
      <c r="B58" t="s">
        <v>4</v>
      </c>
      <c r="C58">
        <v>20000000</v>
      </c>
    </row>
    <row r="59" spans="1:3" x14ac:dyDescent="0.3">
      <c r="A59" t="s">
        <v>36</v>
      </c>
      <c r="B59" t="s">
        <v>4</v>
      </c>
      <c r="C59">
        <v>20000000</v>
      </c>
    </row>
    <row r="60" spans="1:3" x14ac:dyDescent="0.3">
      <c r="A60" t="s">
        <v>37</v>
      </c>
      <c r="B60" t="s">
        <v>4</v>
      </c>
      <c r="C60">
        <v>20000000</v>
      </c>
    </row>
    <row r="61" spans="1:3" x14ac:dyDescent="0.3">
      <c r="A61" t="s">
        <v>38</v>
      </c>
      <c r="B61" t="s">
        <v>4</v>
      </c>
      <c r="C61">
        <v>20000000</v>
      </c>
    </row>
    <row r="62" spans="1:3" x14ac:dyDescent="0.3">
      <c r="A62" t="s">
        <v>39</v>
      </c>
      <c r="B62" t="s">
        <v>4</v>
      </c>
      <c r="C62">
        <v>20000000</v>
      </c>
    </row>
    <row r="63" spans="1:3" x14ac:dyDescent="0.3">
      <c r="A63" t="s">
        <v>40</v>
      </c>
      <c r="B63" t="s">
        <v>4</v>
      </c>
      <c r="C63">
        <v>20000000</v>
      </c>
    </row>
    <row r="64" spans="1:3" x14ac:dyDescent="0.3">
      <c r="A64" t="s">
        <v>41</v>
      </c>
      <c r="B64" t="s">
        <v>4</v>
      </c>
      <c r="C64">
        <v>20000000</v>
      </c>
    </row>
    <row r="65" spans="1:3" x14ac:dyDescent="0.3">
      <c r="A65" t="s">
        <v>42</v>
      </c>
      <c r="B65" t="s">
        <v>4</v>
      </c>
      <c r="C65">
        <v>20000000</v>
      </c>
    </row>
    <row r="66" spans="1:3" x14ac:dyDescent="0.3">
      <c r="A66" t="s">
        <v>43</v>
      </c>
      <c r="B66" t="s">
        <v>4</v>
      </c>
      <c r="C66">
        <v>20000000</v>
      </c>
    </row>
    <row r="67" spans="1:3" x14ac:dyDescent="0.3">
      <c r="A67" t="s">
        <v>44</v>
      </c>
      <c r="B67" t="s">
        <v>4</v>
      </c>
      <c r="C67">
        <v>20000000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tabSelected="1" workbookViewId="0">
      <selection activeCell="B6" sqref="B6"/>
    </sheetView>
  </sheetViews>
  <sheetFormatPr defaultColWidth="8.88671875" defaultRowHeight="14.4" x14ac:dyDescent="0.3"/>
  <sheetData>
    <row r="1" spans="1:2" x14ac:dyDescent="0.3">
      <c r="A1" t="s">
        <v>48</v>
      </c>
    </row>
    <row r="2" spans="1:2" x14ac:dyDescent="0.3">
      <c r="A2" t="s">
        <v>76</v>
      </c>
    </row>
    <row r="3" spans="1:2" x14ac:dyDescent="0.3">
      <c r="A3" t="s">
        <v>45</v>
      </c>
      <c r="B3" t="s">
        <v>77</v>
      </c>
    </row>
    <row r="4" spans="1:2" x14ac:dyDescent="0.3">
      <c r="A4" t="s">
        <v>3</v>
      </c>
      <c r="B4">
        <v>25</v>
      </c>
    </row>
    <row r="5" spans="1:2" x14ac:dyDescent="0.3">
      <c r="A5" t="s">
        <v>4</v>
      </c>
      <c r="B5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D7E641A7C6DC643BD6AA67ED4899C86" ma:contentTypeVersion="14" ma:contentTypeDescription="Opprett et nytt dokument." ma:contentTypeScope="" ma:versionID="4cd9b23512e5ed5f06fd653b087fad24">
  <xsd:schema xmlns:xsd="http://www.w3.org/2001/XMLSchema" xmlns:xs="http://www.w3.org/2001/XMLSchema" xmlns:p="http://schemas.microsoft.com/office/2006/metadata/properties" xmlns:ns2="1603ae16-0075-49fc-8eb8-355ddc15d60c" xmlns:ns3="5ad9d0b0-d7b7-41ff-b881-929c6caa05f1" targetNamespace="http://schemas.microsoft.com/office/2006/metadata/properties" ma:root="true" ma:fieldsID="a0fd60b66c697f161fb7f5dd5e750562" ns2:_="" ns3:_="">
    <xsd:import namespace="1603ae16-0075-49fc-8eb8-355ddc15d60c"/>
    <xsd:import namespace="5ad9d0b0-d7b7-41ff-b881-929c6caa05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3ae16-0075-49fc-8eb8-355ddc15d6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emerkelapper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9d0b0-d7b7-41ff-b881-929c6caa05f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0485b93-1730-45c0-b4e6-1f7d9ffdc4f4}" ma:internalName="TaxCatchAll" ma:showField="CatchAllData" ma:web="5ad9d0b0-d7b7-41ff-b881-929c6caa05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4632087-B1A0-4497-9C13-AFC49B40E5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03ae16-0075-49fc-8eb8-355ddc15d60c"/>
    <ds:schemaRef ds:uri="5ad9d0b0-d7b7-41ff-b881-929c6caa05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CD6268-D42A-4773-B3E9-7FD90D99850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StorageBleedEfficiency</vt:lpstr>
      <vt:lpstr>StorageChargeEff</vt:lpstr>
      <vt:lpstr>StorageDischargeEff</vt:lpstr>
      <vt:lpstr>StoragePowToEnergy</vt:lpstr>
      <vt:lpstr>StorageInitialEnergyLevel</vt:lpstr>
      <vt:lpstr>InitialPowerCapacity</vt:lpstr>
      <vt:lpstr>PowerCapitalCost</vt:lpstr>
      <vt:lpstr>PowerFixedOMCost</vt:lpstr>
      <vt:lpstr>PowerMaxBuiltCapacity</vt:lpstr>
      <vt:lpstr>EnergyCapitalCost</vt:lpstr>
      <vt:lpstr>EnergyFixedOMCost</vt:lpstr>
      <vt:lpstr>EnergyInitialCapacity</vt:lpstr>
      <vt:lpstr>EnergyMaxBuiltCapacity</vt:lpstr>
      <vt:lpstr>EnergyMaxInstalledCapacity</vt:lpstr>
      <vt:lpstr>PowerMaxInstalledCapacity</vt:lpstr>
      <vt:lpstr>Lifetime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Frederik Dahl Nielsen</cp:lastModifiedBy>
  <dcterms:created xsi:type="dcterms:W3CDTF">2024-03-04T17:34:44Z</dcterms:created>
  <dcterms:modified xsi:type="dcterms:W3CDTF">2026-03-26T13:57:22Z</dcterms:modified>
</cp:coreProperties>
</file>