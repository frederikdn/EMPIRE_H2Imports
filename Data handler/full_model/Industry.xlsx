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audk-my.sharepoint.com/personal/tm84dt_plan_aau_dk/Documents/Skrivebord/Archive/Peer-reviewed papers/EMPIRE_H2Imports/EMPIRE_H2Imports/Data handler/full_model/"/>
    </mc:Choice>
  </mc:AlternateContent>
  <xr:revisionPtr revIDLastSave="47" documentId="13_ncr:1_{309BB25B-4BD2-4663-BD64-8FE0CD23E24C}" xr6:coauthVersionLast="47" xr6:coauthVersionMax="47" xr10:uidLastSave="{2CB7BFA6-ECC8-4C1D-974B-3747B57954BB}"/>
  <bookViews>
    <workbookView xWindow="57480" yWindow="2595" windowWidth="38640" windowHeight="21120" xr2:uid="{00000000-000D-0000-FFFF-FFFF00000000}"/>
  </bookViews>
  <sheets>
    <sheet name="ShedCost" sheetId="35" r:id="rId1"/>
    <sheet name="Steel_Plants" sheetId="1" r:id="rId2"/>
    <sheet name="Steel_PlantLifetime" sheetId="36" r:id="rId3"/>
    <sheet name="Steel_InitialCapacity" sheetId="4" r:id="rId4"/>
    <sheet name="Steel_ScaleFactorInitialCap" sheetId="5" r:id="rId5"/>
    <sheet name="Steel_InvCost" sheetId="6" r:id="rId6"/>
    <sheet name="Steel_FixedOM" sheetId="7" r:id="rId7"/>
    <sheet name="Steel_VarOpex" sheetId="8" r:id="rId8"/>
    <sheet name="Steel_CoalConsumption" sheetId="9" r:id="rId9"/>
    <sheet name="Steel_HydrogenConsumption" sheetId="10" r:id="rId10"/>
    <sheet name="Steel_BioConsumption" sheetId="11" r:id="rId11"/>
    <sheet name="Steel_OilConsumption" sheetId="12" r:id="rId12"/>
    <sheet name="Steel_ElConsumption" sheetId="13" r:id="rId13"/>
    <sheet name="Steel_CO2Emissions" sheetId="14" r:id="rId14"/>
    <sheet name="Steel_CO2Captured" sheetId="15" r:id="rId15"/>
    <sheet name="Steel_YearlyProduction" sheetId="16" r:id="rId16"/>
    <sheet name="Cement_Plants" sheetId="2" r:id="rId17"/>
    <sheet name="Cement_PlantLifetime" sheetId="37" r:id="rId18"/>
    <sheet name="Cement_InitialCapacity" sheetId="17" r:id="rId19"/>
    <sheet name="Cement_ScaleFactorInitialCap" sheetId="18" r:id="rId20"/>
    <sheet name="Cement_InvCost" sheetId="19" r:id="rId21"/>
    <sheet name="Cement_FixedOM" sheetId="20" r:id="rId22"/>
    <sheet name="Cement_FuelConsumption" sheetId="21" r:id="rId23"/>
    <sheet name="Cement_CO2CaptureRate" sheetId="22" r:id="rId24"/>
    <sheet name="Cement_ElConsumption" sheetId="23" r:id="rId25"/>
    <sheet name="Cement_YearlyProduction" sheetId="24" r:id="rId26"/>
    <sheet name="Ammonia_Plants" sheetId="3" r:id="rId27"/>
    <sheet name="Ammonia_PlantLifetime" sheetId="38" r:id="rId28"/>
    <sheet name="Ammonia_InitialCapacity" sheetId="25" r:id="rId29"/>
    <sheet name="Ammonia_ScaleFactorInitialCap" sheetId="26" r:id="rId30"/>
    <sheet name="Ammonia_InvCost" sheetId="27" r:id="rId31"/>
    <sheet name="Ammonia_FixedOM" sheetId="28" r:id="rId32"/>
    <sheet name="Ammonia_FeedstockConsumption" sheetId="29" r:id="rId33"/>
    <sheet name="Ammonia_ElConsumption" sheetId="30" r:id="rId34"/>
    <sheet name="Ammonia_YearlyProduction" sheetId="31" r:id="rId35"/>
    <sheet name="Refinery_HydrogenConsumption" sheetId="32" r:id="rId36"/>
    <sheet name="Refinery_HeatConsumption" sheetId="33" r:id="rId37"/>
    <sheet name="Refinery_YearlyProduction" sheetId="34" r:id="rId3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3" i="31" l="1"/>
  <c r="B43" i="31"/>
  <c r="B63" i="31" s="1"/>
  <c r="B83" i="31" s="1"/>
  <c r="B103" i="31" s="1"/>
  <c r="B123" i="31" s="1"/>
  <c r="A43" i="31"/>
  <c r="B42" i="31"/>
  <c r="B62" i="31" s="1"/>
  <c r="B82" i="31" s="1"/>
  <c r="B102" i="31" s="1"/>
  <c r="B122" i="31" s="1"/>
  <c r="B142" i="31" s="1"/>
  <c r="A42" i="31"/>
  <c r="B41" i="31"/>
  <c r="B61" i="31" s="1"/>
  <c r="B81" i="31" s="1"/>
  <c r="B101" i="31" s="1"/>
  <c r="B121" i="31" s="1"/>
  <c r="B141" i="31" s="1"/>
  <c r="A41" i="31"/>
  <c r="A61" i="31" s="1"/>
  <c r="A81" i="31" s="1"/>
  <c r="A101" i="31" s="1"/>
  <c r="A121" i="31" s="1"/>
  <c r="A141" i="31" s="1"/>
  <c r="B40" i="31"/>
  <c r="B60" i="31" s="1"/>
  <c r="B80" i="31" s="1"/>
  <c r="B100" i="31" s="1"/>
  <c r="B120" i="31" s="1"/>
  <c r="B140" i="31" s="1"/>
  <c r="A40" i="31"/>
  <c r="B39" i="31"/>
  <c r="B59" i="31" s="1"/>
  <c r="B79" i="31" s="1"/>
  <c r="B99" i="31" s="1"/>
  <c r="B119" i="31" s="1"/>
  <c r="B139" i="31" s="1"/>
  <c r="A39" i="31"/>
  <c r="A59" i="31" s="1"/>
  <c r="B38" i="31"/>
  <c r="B58" i="31" s="1"/>
  <c r="B78" i="31" s="1"/>
  <c r="B98" i="31" s="1"/>
  <c r="B118" i="31" s="1"/>
  <c r="B138" i="31" s="1"/>
  <c r="A38" i="31"/>
  <c r="B37" i="31"/>
  <c r="B57" i="31" s="1"/>
  <c r="B77" i="31" s="1"/>
  <c r="B97" i="31" s="1"/>
  <c r="B117" i="31" s="1"/>
  <c r="B137" i="31" s="1"/>
  <c r="A37" i="31"/>
  <c r="A57" i="31" s="1"/>
  <c r="A77" i="31" s="1"/>
  <c r="A97" i="31" s="1"/>
  <c r="A117" i="31" s="1"/>
  <c r="A137" i="31" s="1"/>
  <c r="B36" i="31"/>
  <c r="B56" i="31" s="1"/>
  <c r="B76" i="31" s="1"/>
  <c r="B96" i="31" s="1"/>
  <c r="B116" i="31" s="1"/>
  <c r="B136" i="31" s="1"/>
  <c r="A36" i="31"/>
  <c r="B35" i="31"/>
  <c r="B55" i="31" s="1"/>
  <c r="B75" i="31" s="1"/>
  <c r="B95" i="31" s="1"/>
  <c r="B115" i="31" s="1"/>
  <c r="B135" i="31" s="1"/>
  <c r="A35" i="31"/>
  <c r="B34" i="31"/>
  <c r="B54" i="31" s="1"/>
  <c r="B74" i="31" s="1"/>
  <c r="B94" i="31" s="1"/>
  <c r="B114" i="31" s="1"/>
  <c r="B134" i="31" s="1"/>
  <c r="A34" i="31"/>
  <c r="B33" i="31"/>
  <c r="B53" i="31" s="1"/>
  <c r="B73" i="31" s="1"/>
  <c r="B93" i="31" s="1"/>
  <c r="B113" i="31" s="1"/>
  <c r="B133" i="31" s="1"/>
  <c r="A33" i="31"/>
  <c r="A53" i="31" s="1"/>
  <c r="A73" i="31" s="1"/>
  <c r="A93" i="31" s="1"/>
  <c r="A113" i="31" s="1"/>
  <c r="A133" i="31" s="1"/>
  <c r="B32" i="31"/>
  <c r="B52" i="31" s="1"/>
  <c r="B72" i="31" s="1"/>
  <c r="B92" i="31" s="1"/>
  <c r="B112" i="31" s="1"/>
  <c r="B132" i="31" s="1"/>
  <c r="A32" i="31"/>
  <c r="B31" i="31"/>
  <c r="A31" i="31"/>
  <c r="A51" i="31" s="1"/>
  <c r="A71" i="31" s="1"/>
  <c r="A91" i="31" s="1"/>
  <c r="A111" i="31" s="1"/>
  <c r="A131" i="31" s="1"/>
  <c r="B30" i="31"/>
  <c r="B50" i="31" s="1"/>
  <c r="B70" i="31" s="1"/>
  <c r="B90" i="31" s="1"/>
  <c r="B110" i="31" s="1"/>
  <c r="B130" i="31" s="1"/>
  <c r="A30" i="31"/>
  <c r="B29" i="31"/>
  <c r="B49" i="31" s="1"/>
  <c r="B69" i="31" s="1"/>
  <c r="B89" i="31" s="1"/>
  <c r="B109" i="31" s="1"/>
  <c r="B129" i="31" s="1"/>
  <c r="A29" i="31"/>
  <c r="A49" i="31" s="1"/>
  <c r="A69" i="31" s="1"/>
  <c r="A89" i="31" s="1"/>
  <c r="A109" i="31" s="1"/>
  <c r="A129" i="31" s="1"/>
  <c r="B28" i="31"/>
  <c r="B48" i="31" s="1"/>
  <c r="B68" i="31" s="1"/>
  <c r="B88" i="31" s="1"/>
  <c r="B108" i="31" s="1"/>
  <c r="B128" i="31" s="1"/>
  <c r="A28" i="31"/>
  <c r="A48" i="31" s="1"/>
  <c r="A68" i="31" s="1"/>
  <c r="A88" i="31" s="1"/>
  <c r="A108" i="31" s="1"/>
  <c r="B27" i="31"/>
  <c r="B47" i="31" s="1"/>
  <c r="B67" i="31" s="1"/>
  <c r="B87" i="31" s="1"/>
  <c r="B107" i="31" s="1"/>
  <c r="B127" i="31" s="1"/>
  <c r="A27" i="31"/>
  <c r="A47" i="31" s="1"/>
  <c r="A67" i="31" s="1"/>
  <c r="A87" i="31" s="1"/>
  <c r="A107" i="31" s="1"/>
  <c r="B26" i="31"/>
  <c r="B46" i="31" s="1"/>
  <c r="B66" i="31" s="1"/>
  <c r="B86" i="31" s="1"/>
  <c r="B106" i="31" s="1"/>
  <c r="B126" i="31" s="1"/>
  <c r="A26" i="31"/>
  <c r="A46" i="31" s="1"/>
  <c r="A66" i="31" s="1"/>
  <c r="A86" i="31" s="1"/>
  <c r="A106" i="31" s="1"/>
  <c r="A126" i="31" s="1"/>
  <c r="B25" i="31"/>
  <c r="B45" i="31" s="1"/>
  <c r="B65" i="31" s="1"/>
  <c r="B85" i="31" s="1"/>
  <c r="B105" i="31" s="1"/>
  <c r="B125" i="31" s="1"/>
  <c r="A25" i="31"/>
  <c r="A45" i="31" s="1"/>
  <c r="A65" i="31" s="1"/>
  <c r="A85" i="31" s="1"/>
  <c r="A105" i="31" s="1"/>
  <c r="B24" i="31"/>
  <c r="B44" i="31" s="1"/>
  <c r="B64" i="31" s="1"/>
  <c r="B84" i="31" s="1"/>
  <c r="B104" i="31" s="1"/>
  <c r="B124" i="31" s="1"/>
  <c r="A24" i="31"/>
  <c r="A44" i="31" s="1"/>
  <c r="A54" i="31" l="1"/>
  <c r="A74" i="31" s="1"/>
  <c r="A94" i="31" s="1"/>
  <c r="A114" i="31" s="1"/>
  <c r="A134" i="31" s="1"/>
  <c r="A50" i="31"/>
  <c r="A70" i="31" s="1"/>
  <c r="A90" i="31" s="1"/>
  <c r="A110" i="31" s="1"/>
  <c r="A79" i="31"/>
  <c r="A99" i="31" s="1"/>
  <c r="A119" i="31" s="1"/>
  <c r="A58" i="31"/>
  <c r="A78" i="31" s="1"/>
  <c r="A98" i="31" s="1"/>
  <c r="A118" i="31" s="1"/>
  <c r="A138" i="31" s="1"/>
  <c r="A60" i="31"/>
  <c r="A125" i="31"/>
  <c r="B51" i="31"/>
  <c r="B71" i="31" s="1"/>
  <c r="B91" i="31" s="1"/>
  <c r="B111" i="31" s="1"/>
  <c r="B131" i="31" s="1"/>
  <c r="A52" i="31"/>
  <c r="A72" i="31" s="1"/>
  <c r="A92" i="31" s="1"/>
  <c r="A112" i="31" s="1"/>
  <c r="A62" i="31"/>
  <c r="A82" i="31" s="1"/>
  <c r="A102" i="31" s="1"/>
  <c r="A130" i="31"/>
  <c r="A127" i="31"/>
  <c r="A55" i="31"/>
  <c r="A75" i="31" s="1"/>
  <c r="A95" i="31" s="1"/>
  <c r="A115" i="31" s="1"/>
  <c r="A139" i="31"/>
  <c r="A128" i="31"/>
  <c r="A63" i="31"/>
  <c r="A83" i="31" s="1"/>
  <c r="A103" i="31" s="1"/>
  <c r="A64" i="31"/>
  <c r="A84" i="31" s="1"/>
  <c r="A104" i="31" s="1"/>
  <c r="A124" i="31" s="1"/>
  <c r="A56" i="31"/>
  <c r="A76" i="31" s="1"/>
  <c r="A96" i="31" s="1"/>
  <c r="A116" i="31" s="1"/>
  <c r="A136" i="31" s="1"/>
  <c r="A80" i="31" l="1"/>
  <c r="A100" i="31" s="1"/>
  <c r="A123" i="31"/>
  <c r="A143" i="31" s="1"/>
  <c r="A122" i="31"/>
  <c r="A142" i="31" s="1"/>
  <c r="A132" i="31"/>
  <c r="A135" i="31"/>
  <c r="A120" i="31" l="1"/>
  <c r="A140" i="31" l="1"/>
</calcChain>
</file>

<file path=xl/sharedStrings.xml><?xml version="1.0" encoding="utf-8"?>
<sst xmlns="http://schemas.openxmlformats.org/spreadsheetml/2006/main" count="1282" uniqueCount="132">
  <si>
    <t>SteelProductionPlants</t>
  </si>
  <si>
    <t>BF-BOF</t>
  </si>
  <si>
    <t>BF-BOF-BioCarbon</t>
  </si>
  <si>
    <t>H2-DRI</t>
  </si>
  <si>
    <t>EAF</t>
  </si>
  <si>
    <t>Scrap</t>
  </si>
  <si>
    <t>BF-BOF-CCS</t>
  </si>
  <si>
    <t>CementProductionPlants</t>
  </si>
  <si>
    <t>NG-Cement</t>
  </si>
  <si>
    <t>H2-Cement</t>
  </si>
  <si>
    <t>NG-CCS-Cement</t>
  </si>
  <si>
    <t>AmmoniaProductionPlants</t>
  </si>
  <si>
    <t>NG-Ammonia</t>
  </si>
  <si>
    <t>H2-Ammonia</t>
  </si>
  <si>
    <t xml:space="preserve">Source: Eurofer (2019) Map of EU steel production sites, Accessed 22.05.2023 https://www.eurofer.eu/assets/Uploads/Map-20191113_Eurofer_SteelIndustry_Rev3-has-stainless.pdf </t>
  </si>
  <si>
    <t>Description: Initial capacity of steel production (ton/hr) (default: 0)</t>
  </si>
  <si>
    <t>Node</t>
  </si>
  <si>
    <t>Germany</t>
  </si>
  <si>
    <t>Italy</t>
  </si>
  <si>
    <t>France</t>
  </si>
  <si>
    <t>Spain</t>
  </si>
  <si>
    <t>Poland</t>
  </si>
  <si>
    <t>Belgium</t>
  </si>
  <si>
    <t>Austria</t>
  </si>
  <si>
    <t>GreatBrit.</t>
  </si>
  <si>
    <t>Netherlands</t>
  </si>
  <si>
    <t>Sweden</t>
  </si>
  <si>
    <t>CzechR</t>
  </si>
  <si>
    <t>Slovakia</t>
  </si>
  <si>
    <t>Finland</t>
  </si>
  <si>
    <t>Romania</t>
  </si>
  <si>
    <t>Luxemb.</t>
  </si>
  <si>
    <t>Hungary</t>
  </si>
  <si>
    <t>Greece</t>
  </si>
  <si>
    <t>Bulgaria</t>
  </si>
  <si>
    <t>Slovenia</t>
  </si>
  <si>
    <t>Croatia</t>
  </si>
  <si>
    <t>PlantType</t>
  </si>
  <si>
    <t>Initial capacity (ton/hr)</t>
  </si>
  <si>
    <t>Source: Assumed linear phase-out until 2040</t>
  </si>
  <si>
    <t>Description: The share of capacity that has retired compared to the initial period (default 0, no retirement)</t>
  </si>
  <si>
    <t>Period</t>
  </si>
  <si>
    <t>RetirementFactor</t>
  </si>
  <si>
    <t>Source: BCG (2013), "Steel's contribution to a low-carbon Europe 2050"</t>
  </si>
  <si>
    <t>Description: Investment cost for new steel production capacity (EUR / ton/h crude steel)</t>
  </si>
  <si>
    <t>InvCost (eur/(t/h) crude steel)</t>
  </si>
  <si>
    <t>Source: IEA 2020, Iron and Steel Technology Roadmap, Figure 1.3</t>
  </si>
  <si>
    <t>Description: Fixed O&amp;M for steel plants (EUR / ton/h crude steel capacity)</t>
  </si>
  <si>
    <t>Description: Variable operational cost for steel production (EUR / ton/h crude steel)</t>
  </si>
  <si>
    <t>VarOpex (eur/(t/h) crude steel)</t>
  </si>
  <si>
    <t>Source: Summary of findings from HYBRIT Pre-Feasibility Study 2016–2017</t>
  </si>
  <si>
    <t>Description: Fuel consumption (GJ fuel / ton crude steel) (default: 99999)</t>
  </si>
  <si>
    <t>SteelPlant</t>
  </si>
  <si>
    <t>Coal Consumption</t>
  </si>
  <si>
    <t>Source: European Parliament (2021), Carbon-free steel production: Cost reduction options and usage of existing gas infrastructure</t>
  </si>
  <si>
    <t>Description: Fuel consumption (kg fuel / ton crude steel) (default: 99999)</t>
  </si>
  <si>
    <t>Hydrogen Consumption</t>
  </si>
  <si>
    <t>FuelConsumption</t>
  </si>
  <si>
    <t>Description: Electricity consumption (MWh / ton crude steel) (default: 99999)</t>
  </si>
  <si>
    <t>ElectricityConsumption</t>
  </si>
  <si>
    <t>Description: CO2 emissions other than direct fuel use (ton CO2 / ton crude steel) (default: 99999)</t>
  </si>
  <si>
    <t>CO2 emissions (ton CO2/ton crude steel)</t>
  </si>
  <si>
    <t>Source: IEAGHG (2013), Iron and steel CCS study (techno-economics integrated steel mill)</t>
  </si>
  <si>
    <t>Description: CO2 captured for each steel plant type (default: 0)</t>
  </si>
  <si>
    <t>CO2 captured (ton CO2/ton crude steel)</t>
  </si>
  <si>
    <t>Source: Figure 1 in European Parliament (2021), Carbon-free steel production: Cost reduction options and usage of existing gas infrastructure. Grows in line with SDS in Figure 2.2 in IEA (2020) Iron and Steel Technology Roadmap</t>
  </si>
  <si>
    <t>Description: Yearly crude steel production (tons crude steel) (default: 0)</t>
  </si>
  <si>
    <t>Production (ton/yr)</t>
  </si>
  <si>
    <t>Source: Assume everything is based on natural gas</t>
  </si>
  <si>
    <t>Description: Initial capacity of cement production (default:0)</t>
  </si>
  <si>
    <t>BosniaH</t>
  </si>
  <si>
    <t>Denmark</t>
  </si>
  <si>
    <t>Estonia</t>
  </si>
  <si>
    <t>Ireland</t>
  </si>
  <si>
    <t>Latvia</t>
  </si>
  <si>
    <t>Lithuania</t>
  </si>
  <si>
    <t>Macedonia</t>
  </si>
  <si>
    <t>NO1</t>
  </si>
  <si>
    <t>NO2</t>
  </si>
  <si>
    <t>NO3</t>
  </si>
  <si>
    <t>NO4</t>
  </si>
  <si>
    <t>NO5</t>
  </si>
  <si>
    <t>Portugal</t>
  </si>
  <si>
    <t>Serbia</t>
  </si>
  <si>
    <t>Switzerland</t>
  </si>
  <si>
    <t>CementPlant</t>
  </si>
  <si>
    <t>Capacity (ton/hr)</t>
  </si>
  <si>
    <t>Source: IEA ETSAP 2010 Brief: "Cement Production". Assume hydrogen production method same cost as natural gas-based</t>
  </si>
  <si>
    <t>Description: Investment cost for new cement production capacity</t>
  </si>
  <si>
    <t>InvCost (EUR/(ton/hr))</t>
  </si>
  <si>
    <t>Description: Fixed O&amp;M for cement plants</t>
  </si>
  <si>
    <t>Fixed O&amp;M (EUR/(ton/hr))</t>
  </si>
  <si>
    <t>Source: Table 2 in IEA (2018) Low-Carbon Transition in the Cement Industry</t>
  </si>
  <si>
    <t>Description: Fuel consumption (kg fuel / ton cement) (default: 99999)</t>
  </si>
  <si>
    <t>Source: IEA ETSAP 2010 Brief: "Cement Production".</t>
  </si>
  <si>
    <t>Description: CO2 capture rate of cement plants, default: 0</t>
  </si>
  <si>
    <t>CaptureRate</t>
  </si>
  <si>
    <t>Description: Fuel consumption (MWh / ton cement) (default: 99999)</t>
  </si>
  <si>
    <t>Source: Table 3 in 2016 Minerals Yearbook by USGS. Assume flat production level into the future</t>
  </si>
  <si>
    <t>Description: Yearly production of cement (tons / year) (default: 0)</t>
  </si>
  <si>
    <t>Production</t>
  </si>
  <si>
    <t>Production (kt/yr)</t>
  </si>
  <si>
    <t>AmmoniaPlant</t>
  </si>
  <si>
    <t xml:space="preserve">Source: Natural gas based: IEAGHG 2017 Techno-economic evaluation of hyco plant integrated to ammonia/urea or methanol production with CCS. Hydrogen based: </t>
  </si>
  <si>
    <t>Source: Assume 1.5% of investment cost</t>
  </si>
  <si>
    <t>Description: Fixed O&amp;M for ammonia plants</t>
  </si>
  <si>
    <t>Source: Natural gas based: 36 MMbtu / t from https://www.yara.com/investor-relations/analyst-information/calculators/ammonia-and-urea-cash-cost/. Hydrogen based: Rivarolo et al. (2019) Clean Hydrogen and Ammonia Synthesis in Paraguay from the Itaipu 14 GW Hydroelectric Plant</t>
  </si>
  <si>
    <t>Description: Consumption of feestock gas (kg feedstock / t ammonia)</t>
  </si>
  <si>
    <t>Ammonia Plant</t>
  </si>
  <si>
    <t>Feedstock Consumption (kg feedstock / t ammonia)</t>
  </si>
  <si>
    <t>Source: IEA (2019) The Future of Hydrogen Data and Assumptions</t>
  </si>
  <si>
    <t>Description: Electricity consumption (MWh / t ammonia)</t>
  </si>
  <si>
    <t>Ammonia plant</t>
  </si>
  <si>
    <t>Electricity consumption (MWh / t ammonia)</t>
  </si>
  <si>
    <t>Source: Table 3 in Table 3 in A Study on Composition and Drivers of Energy Prices and Costs In Energy Intensive Industries: The Case of The Chemical Industry - Ammonia</t>
  </si>
  <si>
    <t>Description: Yearly production of ammonia (tons/yr) (default: 0)</t>
  </si>
  <si>
    <t>Yearly production (tons/yr)</t>
  </si>
  <si>
    <t>Source: Hydrogen Generation for Refineries (2014) by TDA Research, average for Middle Eastern oil</t>
  </si>
  <si>
    <t>Description: Hydrogen consumed per barrel of oil (kg / bbl) (default: 99999)</t>
  </si>
  <si>
    <t>Hydrogen consumption (ton/k bbl)</t>
  </si>
  <si>
    <t>Source: Assumed</t>
  </si>
  <si>
    <t>Description: Heat consumption per barrel of oil refined (kWh/bbl) (default: 99999)</t>
  </si>
  <si>
    <t>Heat Consumption (MWh/k bbl)</t>
  </si>
  <si>
    <t>Source: Scaled up capacity to as if the refineries were running 24/7. Source for daily capacity: https://www.mckinseyenergyinsights.com/resources/refinery-reference-desk/european-refineries/. Then scaled for actual production vs capacity based on numbers for 2020 in Table A.10 in IEA World Energy Outlook 2021</t>
  </si>
  <si>
    <t>Description: Yearly production of refined oil (bbl) (default: 0)</t>
  </si>
  <si>
    <t>Yearly production of oil (k bbl/yr)</t>
  </si>
  <si>
    <t>Source: shed cost applied to steel, cement and ammonia production</t>
  </si>
  <si>
    <t>Description: Lifetime of plants (default: 10000)</t>
  </si>
  <si>
    <t>ShedCost (€/ton)</t>
  </si>
  <si>
    <t>Source:</t>
  </si>
  <si>
    <t>Description: Lifetime of plants (default: 25)</t>
  </si>
  <si>
    <t>Lifetime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</si>
</sst>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2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1" fontId="0" fillId="0" borderId="0" xfId="0" applyNumberFormat="1"/>
  </cellXfs>
  <cellStyles count="2">
    <cellStyle name="Comma" xfId="1" builtinId="3"/>
    <cellStyle name="Normal" xfId="0" builtinId="0"/>
  </cellStyles>
  <dxfs count="1">
    <dxf>
      <numFmt numFmtId="164" formatCode="_-* #,##0_-;\-* #,##0_-;_-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D04A79-04DF-4879-9297-3230178AFA86}" name="Table1" displayName="Table1" ref="A3:C143" totalsRowShown="0">
  <autoFilter ref="A3:C143" xr:uid="{94D04A79-04DF-4879-9297-3230178AFA86}"/>
  <sortState xmlns:xlrd2="http://schemas.microsoft.com/office/spreadsheetml/2017/richdata2" ref="A4:C20">
    <sortCondition ref="A3:A20"/>
  </sortState>
  <tableColumns count="3">
    <tableColumn id="1" xr3:uid="{A4CC0F3A-80A8-457B-A36C-BDCFD9154D10}" name="Node"/>
    <tableColumn id="4" xr3:uid="{958B8090-57BD-47C3-A5E6-841A7298BA3C}" name="Period"/>
    <tableColumn id="2" xr3:uid="{056A5775-3CA5-4E66-B29F-7B770BB51495}" name="Yearly production (tons/yr)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B3F77-6C2A-446B-81F4-785821A28042}">
  <dimension ref="A1:A4"/>
  <sheetViews>
    <sheetView tabSelected="1" workbookViewId="0"/>
  </sheetViews>
  <sheetFormatPr defaultRowHeight="14.4" x14ac:dyDescent="0.3"/>
  <sheetData>
    <row r="1" spans="1:1" x14ac:dyDescent="0.3">
      <c r="A1" t="s">
        <v>126</v>
      </c>
    </row>
    <row r="2" spans="1:1" x14ac:dyDescent="0.3">
      <c r="A2" t="s">
        <v>127</v>
      </c>
    </row>
    <row r="3" spans="1:1" x14ac:dyDescent="0.3">
      <c r="A3" t="s">
        <v>128</v>
      </c>
    </row>
    <row r="4" spans="1:1" x14ac:dyDescent="0.3">
      <c r="A4" s="2">
        <v>100000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>
      <selection activeCell="A2" sqref="A2:A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DB11-1D67-45B3-A17D-6C5C0F6E2D21}">
  <dimension ref="A1:B9"/>
  <sheetViews>
    <sheetView workbookViewId="0">
      <selection activeCell="B4" sqref="B4:B9"/>
    </sheetView>
  </sheetViews>
  <sheetFormatPr defaultRowHeight="14.4" x14ac:dyDescent="0.3"/>
  <sheetData>
    <row r="1" spans="1:2" x14ac:dyDescent="0.3">
      <c r="A1" t="s">
        <v>129</v>
      </c>
    </row>
    <row r="2" spans="1:2" x14ac:dyDescent="0.3">
      <c r="A2" t="s">
        <v>130</v>
      </c>
    </row>
    <row r="3" spans="1:2" x14ac:dyDescent="0.3">
      <c r="A3" t="s">
        <v>37</v>
      </c>
      <c r="B3" t="s">
        <v>131</v>
      </c>
    </row>
    <row r="4" spans="1:2" x14ac:dyDescent="0.3">
      <c r="A4" t="s">
        <v>1</v>
      </c>
      <c r="B4">
        <v>30</v>
      </c>
    </row>
    <row r="5" spans="1:2" x14ac:dyDescent="0.3">
      <c r="A5" t="s">
        <v>2</v>
      </c>
      <c r="B5">
        <v>30</v>
      </c>
    </row>
    <row r="6" spans="1:2" x14ac:dyDescent="0.3">
      <c r="A6" t="s">
        <v>3</v>
      </c>
      <c r="B6">
        <v>30</v>
      </c>
    </row>
    <row r="7" spans="1:2" x14ac:dyDescent="0.3">
      <c r="A7" t="s">
        <v>4</v>
      </c>
      <c r="B7">
        <v>30</v>
      </c>
    </row>
    <row r="8" spans="1:2" x14ac:dyDescent="0.3">
      <c r="A8" t="s">
        <v>5</v>
      </c>
      <c r="B8">
        <v>30</v>
      </c>
    </row>
    <row r="9" spans="1:2" x14ac:dyDescent="0.3">
      <c r="A9" t="s">
        <v>6</v>
      </c>
      <c r="B9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3"/>
  <sheetViews>
    <sheetView workbookViewId="0">
      <selection activeCell="N14" sqref="N14"/>
    </sheetView>
  </sheetViews>
  <sheetFormatPr defaultRowHeight="14.4" x14ac:dyDescent="0.3"/>
  <sheetData>
    <row r="1" spans="1:3" x14ac:dyDescent="0.3">
      <c r="A1" t="s">
        <v>14</v>
      </c>
    </row>
    <row r="2" spans="1:3" x14ac:dyDescent="0.3">
      <c r="A2" t="s">
        <v>15</v>
      </c>
    </row>
    <row r="3" spans="1:3" x14ac:dyDescent="0.3">
      <c r="A3" t="s">
        <v>16</v>
      </c>
      <c r="B3" t="s">
        <v>37</v>
      </c>
      <c r="C3" t="s">
        <v>38</v>
      </c>
    </row>
    <row r="4" spans="1:3" x14ac:dyDescent="0.3">
      <c r="A4" t="s">
        <v>17</v>
      </c>
      <c r="B4" t="s">
        <v>1</v>
      </c>
      <c r="C4">
        <v>3305.9360730593612</v>
      </c>
    </row>
    <row r="5" spans="1:3" x14ac:dyDescent="0.3">
      <c r="A5" t="s">
        <v>18</v>
      </c>
      <c r="B5" t="s">
        <v>1</v>
      </c>
      <c r="C5">
        <v>1312.785388127854</v>
      </c>
    </row>
    <row r="6" spans="1:3" x14ac:dyDescent="0.3">
      <c r="A6" t="s">
        <v>19</v>
      </c>
      <c r="B6" t="s">
        <v>1</v>
      </c>
      <c r="C6">
        <v>1352.739726027397</v>
      </c>
    </row>
    <row r="7" spans="1:3" x14ac:dyDescent="0.3">
      <c r="A7" t="s">
        <v>20</v>
      </c>
      <c r="B7" t="s">
        <v>1</v>
      </c>
      <c r="C7">
        <v>616.43835616438355</v>
      </c>
    </row>
    <row r="8" spans="1:3" x14ac:dyDescent="0.3">
      <c r="A8" t="s">
        <v>21</v>
      </c>
      <c r="B8" t="s">
        <v>1</v>
      </c>
      <c r="C8">
        <v>867.57990867579906</v>
      </c>
    </row>
    <row r="9" spans="1:3" x14ac:dyDescent="0.3">
      <c r="A9" t="s">
        <v>22</v>
      </c>
      <c r="B9" t="s">
        <v>1</v>
      </c>
      <c r="C9">
        <v>570.77625570776263</v>
      </c>
    </row>
    <row r="10" spans="1:3" x14ac:dyDescent="0.3">
      <c r="A10" t="s">
        <v>23</v>
      </c>
      <c r="B10" t="s">
        <v>1</v>
      </c>
      <c r="C10">
        <v>864.15525114155253</v>
      </c>
    </row>
    <row r="11" spans="1:3" x14ac:dyDescent="0.3">
      <c r="A11" t="s">
        <v>24</v>
      </c>
      <c r="B11" t="s">
        <v>1</v>
      </c>
      <c r="C11">
        <v>924.65753424657532</v>
      </c>
    </row>
    <row r="12" spans="1:3" x14ac:dyDescent="0.3">
      <c r="A12" t="s">
        <v>25</v>
      </c>
      <c r="B12" t="s">
        <v>1</v>
      </c>
      <c r="C12">
        <v>856.16438356164383</v>
      </c>
    </row>
    <row r="13" spans="1:3" x14ac:dyDescent="0.3">
      <c r="A13" t="s">
        <v>26</v>
      </c>
      <c r="B13" t="s">
        <v>1</v>
      </c>
      <c r="C13">
        <v>445.20547945205482</v>
      </c>
    </row>
    <row r="14" spans="1:3" x14ac:dyDescent="0.3">
      <c r="A14" t="s">
        <v>27</v>
      </c>
      <c r="B14" t="s">
        <v>1</v>
      </c>
      <c r="C14">
        <v>273.97260273972603</v>
      </c>
    </row>
    <row r="15" spans="1:3" x14ac:dyDescent="0.3">
      <c r="A15" t="s">
        <v>28</v>
      </c>
      <c r="B15" t="s">
        <v>1</v>
      </c>
      <c r="C15">
        <v>513.69863013698637</v>
      </c>
    </row>
    <row r="16" spans="1:3" x14ac:dyDescent="0.3">
      <c r="A16" t="s">
        <v>29</v>
      </c>
      <c r="B16" t="s">
        <v>1</v>
      </c>
      <c r="C16">
        <v>296.80365296803649</v>
      </c>
    </row>
    <row r="17" spans="1:3" x14ac:dyDescent="0.3">
      <c r="A17" t="s">
        <v>30</v>
      </c>
      <c r="B17" t="s">
        <v>1</v>
      </c>
      <c r="C17">
        <v>365.29680365296798</v>
      </c>
    </row>
    <row r="18" spans="1:3" x14ac:dyDescent="0.3">
      <c r="A18" t="s">
        <v>31</v>
      </c>
      <c r="B18" t="s">
        <v>1</v>
      </c>
      <c r="C18">
        <v>0</v>
      </c>
    </row>
    <row r="19" spans="1:3" x14ac:dyDescent="0.3">
      <c r="A19" t="s">
        <v>32</v>
      </c>
      <c r="B19" t="s">
        <v>1</v>
      </c>
      <c r="C19">
        <v>188.35616438356161</v>
      </c>
    </row>
    <row r="20" spans="1:3" x14ac:dyDescent="0.3">
      <c r="A20" t="s">
        <v>33</v>
      </c>
      <c r="B20" t="s">
        <v>1</v>
      </c>
      <c r="C20">
        <v>0</v>
      </c>
    </row>
    <row r="21" spans="1:3" x14ac:dyDescent="0.3">
      <c r="A21" t="s">
        <v>34</v>
      </c>
      <c r="B21" t="s">
        <v>1</v>
      </c>
      <c r="C21">
        <v>0</v>
      </c>
    </row>
    <row r="22" spans="1:3" x14ac:dyDescent="0.3">
      <c r="A22" t="s">
        <v>35</v>
      </c>
      <c r="B22" t="s">
        <v>1</v>
      </c>
      <c r="C22">
        <v>0</v>
      </c>
    </row>
    <row r="23" spans="1:3" x14ac:dyDescent="0.3">
      <c r="A23" t="s">
        <v>36</v>
      </c>
      <c r="B23" t="s">
        <v>1</v>
      </c>
      <c r="C23">
        <v>0</v>
      </c>
    </row>
    <row r="24" spans="1:3" x14ac:dyDescent="0.3">
      <c r="A24" t="s">
        <v>17</v>
      </c>
      <c r="B24" t="s">
        <v>4</v>
      </c>
      <c r="C24">
        <v>0</v>
      </c>
    </row>
    <row r="25" spans="1:3" x14ac:dyDescent="0.3">
      <c r="A25" t="s">
        <v>18</v>
      </c>
      <c r="B25" t="s">
        <v>4</v>
      </c>
      <c r="C25">
        <v>0</v>
      </c>
    </row>
    <row r="26" spans="1:3" x14ac:dyDescent="0.3">
      <c r="A26" t="s">
        <v>19</v>
      </c>
      <c r="B26" t="s">
        <v>4</v>
      </c>
      <c r="C26">
        <v>0</v>
      </c>
    </row>
    <row r="27" spans="1:3" x14ac:dyDescent="0.3">
      <c r="A27" t="s">
        <v>20</v>
      </c>
      <c r="B27" t="s">
        <v>4</v>
      </c>
      <c r="C27">
        <v>0</v>
      </c>
    </row>
    <row r="28" spans="1:3" x14ac:dyDescent="0.3">
      <c r="A28" t="s">
        <v>21</v>
      </c>
      <c r="B28" t="s">
        <v>4</v>
      </c>
      <c r="C28">
        <v>0</v>
      </c>
    </row>
    <row r="29" spans="1:3" x14ac:dyDescent="0.3">
      <c r="A29" t="s">
        <v>22</v>
      </c>
      <c r="B29" t="s">
        <v>4</v>
      </c>
      <c r="C29">
        <v>0</v>
      </c>
    </row>
    <row r="30" spans="1:3" x14ac:dyDescent="0.3">
      <c r="A30" t="s">
        <v>23</v>
      </c>
      <c r="B30" t="s">
        <v>4</v>
      </c>
      <c r="C30">
        <v>0</v>
      </c>
    </row>
    <row r="31" spans="1:3" x14ac:dyDescent="0.3">
      <c r="A31" t="s">
        <v>24</v>
      </c>
      <c r="B31" t="s">
        <v>4</v>
      </c>
      <c r="C31">
        <v>0</v>
      </c>
    </row>
    <row r="32" spans="1:3" x14ac:dyDescent="0.3">
      <c r="A32" t="s">
        <v>25</v>
      </c>
      <c r="B32" t="s">
        <v>4</v>
      </c>
      <c r="C32">
        <v>0</v>
      </c>
    </row>
    <row r="33" spans="1:3" x14ac:dyDescent="0.3">
      <c r="A33" t="s">
        <v>26</v>
      </c>
      <c r="B33" t="s">
        <v>4</v>
      </c>
      <c r="C33">
        <v>0</v>
      </c>
    </row>
    <row r="34" spans="1:3" x14ac:dyDescent="0.3">
      <c r="A34" t="s">
        <v>27</v>
      </c>
      <c r="B34" t="s">
        <v>4</v>
      </c>
      <c r="C34">
        <v>0</v>
      </c>
    </row>
    <row r="35" spans="1:3" x14ac:dyDescent="0.3">
      <c r="A35" t="s">
        <v>28</v>
      </c>
      <c r="B35" t="s">
        <v>4</v>
      </c>
      <c r="C35">
        <v>0</v>
      </c>
    </row>
    <row r="36" spans="1:3" x14ac:dyDescent="0.3">
      <c r="A36" t="s">
        <v>29</v>
      </c>
      <c r="B36" t="s">
        <v>4</v>
      </c>
      <c r="C36">
        <v>0</v>
      </c>
    </row>
    <row r="37" spans="1:3" x14ac:dyDescent="0.3">
      <c r="A37" t="s">
        <v>30</v>
      </c>
      <c r="B37" t="s">
        <v>4</v>
      </c>
      <c r="C37">
        <v>0</v>
      </c>
    </row>
    <row r="38" spans="1:3" x14ac:dyDescent="0.3">
      <c r="A38" t="s">
        <v>31</v>
      </c>
      <c r="B38" t="s">
        <v>4</v>
      </c>
      <c r="C38">
        <v>0</v>
      </c>
    </row>
    <row r="39" spans="1:3" x14ac:dyDescent="0.3">
      <c r="A39" t="s">
        <v>32</v>
      </c>
      <c r="B39" t="s">
        <v>4</v>
      </c>
      <c r="C39">
        <v>0</v>
      </c>
    </row>
    <row r="40" spans="1:3" x14ac:dyDescent="0.3">
      <c r="A40" t="s">
        <v>33</v>
      </c>
      <c r="B40" t="s">
        <v>4</v>
      </c>
      <c r="C40">
        <v>0</v>
      </c>
    </row>
    <row r="41" spans="1:3" x14ac:dyDescent="0.3">
      <c r="A41" t="s">
        <v>34</v>
      </c>
      <c r="B41" t="s">
        <v>4</v>
      </c>
      <c r="C41">
        <v>0</v>
      </c>
    </row>
    <row r="42" spans="1:3" x14ac:dyDescent="0.3">
      <c r="A42" t="s">
        <v>35</v>
      </c>
      <c r="B42" t="s">
        <v>4</v>
      </c>
      <c r="C42">
        <v>0</v>
      </c>
    </row>
    <row r="43" spans="1:3" x14ac:dyDescent="0.3">
      <c r="A43" t="s">
        <v>36</v>
      </c>
      <c r="B43" t="s">
        <v>4</v>
      </c>
      <c r="C4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workbookViewId="0">
      <selection activeCell="C19" sqref="C19"/>
    </sheetView>
  </sheetViews>
  <sheetFormatPr defaultRowHeight="14.4" x14ac:dyDescent="0.3"/>
  <sheetData>
    <row r="1" spans="1:3" x14ac:dyDescent="0.3">
      <c r="A1" t="s">
        <v>39</v>
      </c>
    </row>
    <row r="2" spans="1:3" x14ac:dyDescent="0.3">
      <c r="A2" t="s">
        <v>40</v>
      </c>
    </row>
    <row r="3" spans="1:3" x14ac:dyDescent="0.3">
      <c r="A3" t="s">
        <v>37</v>
      </c>
      <c r="B3" t="s">
        <v>41</v>
      </c>
      <c r="C3" t="s">
        <v>42</v>
      </c>
    </row>
    <row r="4" spans="1:3" x14ac:dyDescent="0.3">
      <c r="A4" t="s">
        <v>1</v>
      </c>
      <c r="B4">
        <v>1</v>
      </c>
      <c r="C4">
        <v>0.4</v>
      </c>
    </row>
    <row r="5" spans="1:3" x14ac:dyDescent="0.3">
      <c r="A5" t="s">
        <v>1</v>
      </c>
      <c r="B5">
        <v>2</v>
      </c>
      <c r="C5">
        <v>0.60000000000000009</v>
      </c>
    </row>
    <row r="6" spans="1:3" x14ac:dyDescent="0.3">
      <c r="A6" t="s">
        <v>1</v>
      </c>
      <c r="B6">
        <v>3</v>
      </c>
      <c r="C6">
        <v>0.8</v>
      </c>
    </row>
    <row r="7" spans="1:3" x14ac:dyDescent="0.3">
      <c r="A7" t="s">
        <v>1</v>
      </c>
      <c r="B7">
        <v>4</v>
      </c>
      <c r="C7">
        <v>1</v>
      </c>
    </row>
    <row r="8" spans="1:3" x14ac:dyDescent="0.3">
      <c r="A8" t="s">
        <v>1</v>
      </c>
      <c r="B8">
        <v>5</v>
      </c>
      <c r="C8">
        <v>1</v>
      </c>
    </row>
    <row r="9" spans="1:3" x14ac:dyDescent="0.3">
      <c r="A9" t="s">
        <v>1</v>
      </c>
      <c r="B9">
        <v>6</v>
      </c>
      <c r="C9">
        <v>1</v>
      </c>
    </row>
    <row r="10" spans="1:3" x14ac:dyDescent="0.3">
      <c r="A10" t="s">
        <v>1</v>
      </c>
      <c r="B10">
        <v>7</v>
      </c>
      <c r="C10">
        <v>1</v>
      </c>
    </row>
    <row r="11" spans="1:3" x14ac:dyDescent="0.3">
      <c r="A11" t="s">
        <v>4</v>
      </c>
      <c r="B11">
        <v>1</v>
      </c>
      <c r="C11">
        <v>0.4</v>
      </c>
    </row>
    <row r="12" spans="1:3" x14ac:dyDescent="0.3">
      <c r="A12" t="s">
        <v>4</v>
      </c>
      <c r="B12">
        <v>2</v>
      </c>
      <c r="C12">
        <v>0.60000000000000009</v>
      </c>
    </row>
    <row r="13" spans="1:3" x14ac:dyDescent="0.3">
      <c r="A13" t="s">
        <v>4</v>
      </c>
      <c r="B13">
        <v>3</v>
      </c>
      <c r="C13">
        <v>0.8</v>
      </c>
    </row>
    <row r="14" spans="1:3" x14ac:dyDescent="0.3">
      <c r="A14" t="s">
        <v>4</v>
      </c>
      <c r="B14">
        <v>4</v>
      </c>
      <c r="C14">
        <v>1</v>
      </c>
    </row>
    <row r="15" spans="1:3" x14ac:dyDescent="0.3">
      <c r="A15" t="s">
        <v>4</v>
      </c>
      <c r="B15">
        <v>5</v>
      </c>
      <c r="C15">
        <v>1</v>
      </c>
    </row>
    <row r="16" spans="1:3" x14ac:dyDescent="0.3">
      <c r="A16" t="s">
        <v>4</v>
      </c>
      <c r="B16">
        <v>6</v>
      </c>
      <c r="C16">
        <v>1</v>
      </c>
    </row>
    <row r="17" spans="1:3" x14ac:dyDescent="0.3">
      <c r="A17" t="s">
        <v>4</v>
      </c>
      <c r="B17">
        <v>7</v>
      </c>
      <c r="C1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1"/>
  <sheetViews>
    <sheetView workbookViewId="0"/>
  </sheetViews>
  <sheetFormatPr defaultRowHeight="14.4" x14ac:dyDescent="0.3"/>
  <cols>
    <col min="1" max="1" width="15.44140625" customWidth="1"/>
    <col min="3" max="3" width="12.6640625" bestFit="1" customWidth="1"/>
  </cols>
  <sheetData>
    <row r="1" spans="1:3" x14ac:dyDescent="0.3">
      <c r="A1" t="s">
        <v>43</v>
      </c>
    </row>
    <row r="2" spans="1:3" x14ac:dyDescent="0.3">
      <c r="A2" t="s">
        <v>44</v>
      </c>
    </row>
    <row r="3" spans="1:3" x14ac:dyDescent="0.3">
      <c r="A3" t="s">
        <v>37</v>
      </c>
      <c r="B3" t="s">
        <v>41</v>
      </c>
      <c r="C3" t="s">
        <v>45</v>
      </c>
    </row>
    <row r="4" spans="1:3" x14ac:dyDescent="0.3">
      <c r="A4" t="s">
        <v>1</v>
      </c>
      <c r="B4">
        <v>1</v>
      </c>
      <c r="C4">
        <v>1489200</v>
      </c>
    </row>
    <row r="5" spans="1:3" x14ac:dyDescent="0.3">
      <c r="A5" t="s">
        <v>1</v>
      </c>
      <c r="B5">
        <v>2</v>
      </c>
      <c r="C5" s="2">
        <v>999999999</v>
      </c>
    </row>
    <row r="6" spans="1:3" x14ac:dyDescent="0.3">
      <c r="A6" t="s">
        <v>1</v>
      </c>
      <c r="B6">
        <v>3</v>
      </c>
      <c r="C6" s="2">
        <v>999999999</v>
      </c>
    </row>
    <row r="7" spans="1:3" x14ac:dyDescent="0.3">
      <c r="A7" t="s">
        <v>1</v>
      </c>
      <c r="B7">
        <v>4</v>
      </c>
      <c r="C7" s="2">
        <v>999999999</v>
      </c>
    </row>
    <row r="8" spans="1:3" x14ac:dyDescent="0.3">
      <c r="A8" t="s">
        <v>1</v>
      </c>
      <c r="B8">
        <v>5</v>
      </c>
      <c r="C8" s="2">
        <v>999999999</v>
      </c>
    </row>
    <row r="9" spans="1:3" x14ac:dyDescent="0.3">
      <c r="A9" t="s">
        <v>1</v>
      </c>
      <c r="B9">
        <v>6</v>
      </c>
      <c r="C9" s="2">
        <v>999999999</v>
      </c>
    </row>
    <row r="10" spans="1:3" x14ac:dyDescent="0.3">
      <c r="A10" t="s">
        <v>1</v>
      </c>
      <c r="B10">
        <v>7</v>
      </c>
      <c r="C10" s="2">
        <v>999999999</v>
      </c>
    </row>
    <row r="11" spans="1:3" x14ac:dyDescent="0.3">
      <c r="A11" t="s">
        <v>1</v>
      </c>
      <c r="B11">
        <v>8</v>
      </c>
      <c r="C11" s="2">
        <v>999999999</v>
      </c>
    </row>
    <row r="12" spans="1:3" x14ac:dyDescent="0.3">
      <c r="A12" t="s">
        <v>2</v>
      </c>
      <c r="B12">
        <v>1</v>
      </c>
      <c r="C12" s="2">
        <v>999999999</v>
      </c>
    </row>
    <row r="13" spans="1:3" x14ac:dyDescent="0.3">
      <c r="A13" t="s">
        <v>2</v>
      </c>
      <c r="B13">
        <v>2</v>
      </c>
      <c r="C13" s="2">
        <v>999999999</v>
      </c>
    </row>
    <row r="14" spans="1:3" x14ac:dyDescent="0.3">
      <c r="A14" t="s">
        <v>2</v>
      </c>
      <c r="B14">
        <v>3</v>
      </c>
      <c r="C14" s="2">
        <v>999999999</v>
      </c>
    </row>
    <row r="15" spans="1:3" x14ac:dyDescent="0.3">
      <c r="A15" t="s">
        <v>2</v>
      </c>
      <c r="B15">
        <v>4</v>
      </c>
      <c r="C15" s="2">
        <v>999999999</v>
      </c>
    </row>
    <row r="16" spans="1:3" x14ac:dyDescent="0.3">
      <c r="A16" t="s">
        <v>2</v>
      </c>
      <c r="B16">
        <v>5</v>
      </c>
      <c r="C16" s="2">
        <v>999999999</v>
      </c>
    </row>
    <row r="17" spans="1:3" x14ac:dyDescent="0.3">
      <c r="A17" t="s">
        <v>2</v>
      </c>
      <c r="B17">
        <v>6</v>
      </c>
      <c r="C17" s="2">
        <v>999999999</v>
      </c>
    </row>
    <row r="18" spans="1:3" x14ac:dyDescent="0.3">
      <c r="A18" t="s">
        <v>2</v>
      </c>
      <c r="B18">
        <v>7</v>
      </c>
      <c r="C18" s="2">
        <v>999999999</v>
      </c>
    </row>
    <row r="19" spans="1:3" x14ac:dyDescent="0.3">
      <c r="A19" t="s">
        <v>2</v>
      </c>
      <c r="B19">
        <v>8</v>
      </c>
      <c r="C19" s="2">
        <v>999999999</v>
      </c>
    </row>
    <row r="20" spans="1:3" x14ac:dyDescent="0.3">
      <c r="A20" t="s">
        <v>3</v>
      </c>
      <c r="B20">
        <v>1</v>
      </c>
      <c r="C20" s="2">
        <v>999999999</v>
      </c>
    </row>
    <row r="21" spans="1:3" x14ac:dyDescent="0.3">
      <c r="A21" t="s">
        <v>3</v>
      </c>
      <c r="B21">
        <v>2</v>
      </c>
      <c r="C21">
        <v>2014800</v>
      </c>
    </row>
    <row r="22" spans="1:3" x14ac:dyDescent="0.3">
      <c r="A22" t="s">
        <v>3</v>
      </c>
      <c r="B22">
        <v>3</v>
      </c>
      <c r="C22">
        <v>2014800</v>
      </c>
    </row>
    <row r="23" spans="1:3" x14ac:dyDescent="0.3">
      <c r="A23" t="s">
        <v>3</v>
      </c>
      <c r="B23">
        <v>4</v>
      </c>
      <c r="C23">
        <v>2014800</v>
      </c>
    </row>
    <row r="24" spans="1:3" x14ac:dyDescent="0.3">
      <c r="A24" t="s">
        <v>3</v>
      </c>
      <c r="B24">
        <v>5</v>
      </c>
      <c r="C24">
        <v>2014800</v>
      </c>
    </row>
    <row r="25" spans="1:3" x14ac:dyDescent="0.3">
      <c r="A25" t="s">
        <v>3</v>
      </c>
      <c r="B25">
        <v>6</v>
      </c>
      <c r="C25">
        <v>2014800</v>
      </c>
    </row>
    <row r="26" spans="1:3" x14ac:dyDescent="0.3">
      <c r="A26" t="s">
        <v>3</v>
      </c>
      <c r="B26">
        <v>7</v>
      </c>
      <c r="C26">
        <v>2014800</v>
      </c>
    </row>
    <row r="27" spans="1:3" x14ac:dyDescent="0.3">
      <c r="A27" t="s">
        <v>3</v>
      </c>
      <c r="B27">
        <v>8</v>
      </c>
      <c r="C27">
        <v>2014800</v>
      </c>
    </row>
    <row r="28" spans="1:3" x14ac:dyDescent="0.3">
      <c r="A28" t="s">
        <v>4</v>
      </c>
      <c r="B28">
        <v>1</v>
      </c>
      <c r="C28" s="2">
        <v>999999999</v>
      </c>
    </row>
    <row r="29" spans="1:3" x14ac:dyDescent="0.3">
      <c r="A29" t="s">
        <v>4</v>
      </c>
      <c r="B29">
        <v>2</v>
      </c>
      <c r="C29" s="2">
        <v>999999999</v>
      </c>
    </row>
    <row r="30" spans="1:3" x14ac:dyDescent="0.3">
      <c r="A30" t="s">
        <v>4</v>
      </c>
      <c r="B30">
        <v>3</v>
      </c>
      <c r="C30" s="2">
        <v>999999999</v>
      </c>
    </row>
    <row r="31" spans="1:3" x14ac:dyDescent="0.3">
      <c r="A31" t="s">
        <v>4</v>
      </c>
      <c r="B31">
        <v>4</v>
      </c>
      <c r="C31" s="2">
        <v>999999999</v>
      </c>
    </row>
    <row r="32" spans="1:3" x14ac:dyDescent="0.3">
      <c r="A32" t="s">
        <v>4</v>
      </c>
      <c r="B32">
        <v>5</v>
      </c>
      <c r="C32" s="2">
        <v>999999999</v>
      </c>
    </row>
    <row r="33" spans="1:3" x14ac:dyDescent="0.3">
      <c r="A33" t="s">
        <v>4</v>
      </c>
      <c r="B33">
        <v>6</v>
      </c>
      <c r="C33" s="2">
        <v>999999999</v>
      </c>
    </row>
    <row r="34" spans="1:3" x14ac:dyDescent="0.3">
      <c r="A34" t="s">
        <v>4</v>
      </c>
      <c r="B34">
        <v>7</v>
      </c>
      <c r="C34" s="2">
        <v>999999999</v>
      </c>
    </row>
    <row r="35" spans="1:3" x14ac:dyDescent="0.3">
      <c r="A35" t="s">
        <v>4</v>
      </c>
      <c r="B35">
        <v>8</v>
      </c>
      <c r="C35" s="2">
        <v>999999999</v>
      </c>
    </row>
    <row r="36" spans="1:3" x14ac:dyDescent="0.3">
      <c r="A36" t="s">
        <v>5</v>
      </c>
      <c r="B36">
        <v>1</v>
      </c>
      <c r="C36">
        <v>0</v>
      </c>
    </row>
    <row r="37" spans="1:3" x14ac:dyDescent="0.3">
      <c r="A37" t="s">
        <v>5</v>
      </c>
      <c r="B37">
        <v>2</v>
      </c>
      <c r="C37">
        <v>0</v>
      </c>
    </row>
    <row r="38" spans="1:3" x14ac:dyDescent="0.3">
      <c r="A38" t="s">
        <v>5</v>
      </c>
      <c r="B38">
        <v>3</v>
      </c>
      <c r="C38">
        <v>0</v>
      </c>
    </row>
    <row r="39" spans="1:3" x14ac:dyDescent="0.3">
      <c r="A39" t="s">
        <v>5</v>
      </c>
      <c r="B39">
        <v>4</v>
      </c>
      <c r="C39">
        <v>0</v>
      </c>
    </row>
    <row r="40" spans="1:3" x14ac:dyDescent="0.3">
      <c r="A40" t="s">
        <v>5</v>
      </c>
      <c r="B40">
        <v>5</v>
      </c>
      <c r="C40">
        <v>0</v>
      </c>
    </row>
    <row r="41" spans="1:3" x14ac:dyDescent="0.3">
      <c r="A41" t="s">
        <v>5</v>
      </c>
      <c r="B41">
        <v>6</v>
      </c>
      <c r="C41">
        <v>0</v>
      </c>
    </row>
    <row r="42" spans="1:3" x14ac:dyDescent="0.3">
      <c r="A42" t="s">
        <v>5</v>
      </c>
      <c r="B42">
        <v>7</v>
      </c>
      <c r="C42">
        <v>0</v>
      </c>
    </row>
    <row r="43" spans="1:3" x14ac:dyDescent="0.3">
      <c r="A43" t="s">
        <v>5</v>
      </c>
      <c r="B43">
        <v>8</v>
      </c>
      <c r="C43">
        <v>0</v>
      </c>
    </row>
    <row r="44" spans="1:3" x14ac:dyDescent="0.3">
      <c r="A44" t="s">
        <v>6</v>
      </c>
      <c r="B44">
        <v>1</v>
      </c>
      <c r="C44" s="2">
        <v>999999999</v>
      </c>
    </row>
    <row r="45" spans="1:3" x14ac:dyDescent="0.3">
      <c r="A45" t="s">
        <v>6</v>
      </c>
      <c r="B45">
        <v>2</v>
      </c>
      <c r="C45" s="2">
        <v>999999999</v>
      </c>
    </row>
    <row r="46" spans="1:3" x14ac:dyDescent="0.3">
      <c r="A46" t="s">
        <v>6</v>
      </c>
      <c r="B46">
        <v>3</v>
      </c>
      <c r="C46" s="2">
        <v>999999999</v>
      </c>
    </row>
    <row r="47" spans="1:3" x14ac:dyDescent="0.3">
      <c r="A47" t="s">
        <v>6</v>
      </c>
      <c r="B47">
        <v>4</v>
      </c>
      <c r="C47" s="2">
        <v>999999999</v>
      </c>
    </row>
    <row r="48" spans="1:3" x14ac:dyDescent="0.3">
      <c r="A48" t="s">
        <v>6</v>
      </c>
      <c r="B48">
        <v>5</v>
      </c>
      <c r="C48" s="2">
        <v>999999999</v>
      </c>
    </row>
    <row r="49" spans="1:3" x14ac:dyDescent="0.3">
      <c r="A49" t="s">
        <v>6</v>
      </c>
      <c r="B49">
        <v>6</v>
      </c>
      <c r="C49" s="2">
        <v>999999999</v>
      </c>
    </row>
    <row r="50" spans="1:3" x14ac:dyDescent="0.3">
      <c r="A50" t="s">
        <v>6</v>
      </c>
      <c r="B50">
        <v>7</v>
      </c>
      <c r="C50" s="2">
        <v>999999999</v>
      </c>
    </row>
    <row r="51" spans="1:3" x14ac:dyDescent="0.3">
      <c r="A51" t="s">
        <v>6</v>
      </c>
      <c r="B51">
        <v>8</v>
      </c>
      <c r="C51" s="2">
        <v>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1"/>
  <sheetViews>
    <sheetView workbookViewId="0">
      <selection activeCell="C8" sqref="C8"/>
    </sheetView>
  </sheetViews>
  <sheetFormatPr defaultRowHeight="14.4" x14ac:dyDescent="0.3"/>
  <sheetData>
    <row r="1" spans="1:3" x14ac:dyDescent="0.3">
      <c r="A1" t="s">
        <v>46</v>
      </c>
    </row>
    <row r="2" spans="1:3" x14ac:dyDescent="0.3">
      <c r="A2" t="s">
        <v>47</v>
      </c>
    </row>
    <row r="3" spans="1:3" x14ac:dyDescent="0.3">
      <c r="A3" t="s">
        <v>37</v>
      </c>
      <c r="B3" t="s">
        <v>41</v>
      </c>
      <c r="C3" t="s">
        <v>45</v>
      </c>
    </row>
    <row r="4" spans="1:3" x14ac:dyDescent="0.3">
      <c r="A4" t="s">
        <v>1</v>
      </c>
      <c r="B4">
        <v>1</v>
      </c>
      <c r="C4">
        <v>586920</v>
      </c>
    </row>
    <row r="5" spans="1:3" x14ac:dyDescent="0.3">
      <c r="A5" t="s">
        <v>1</v>
      </c>
      <c r="B5">
        <v>2</v>
      </c>
      <c r="C5">
        <v>586920</v>
      </c>
    </row>
    <row r="6" spans="1:3" x14ac:dyDescent="0.3">
      <c r="A6" t="s">
        <v>1</v>
      </c>
      <c r="B6">
        <v>3</v>
      </c>
      <c r="C6">
        <v>586920</v>
      </c>
    </row>
    <row r="7" spans="1:3" x14ac:dyDescent="0.3">
      <c r="A7" t="s">
        <v>1</v>
      </c>
      <c r="B7">
        <v>4</v>
      </c>
      <c r="C7">
        <v>586920</v>
      </c>
    </row>
    <row r="8" spans="1:3" x14ac:dyDescent="0.3">
      <c r="A8" t="s">
        <v>1</v>
      </c>
      <c r="B8">
        <v>5</v>
      </c>
      <c r="C8">
        <v>586920</v>
      </c>
    </row>
    <row r="9" spans="1:3" x14ac:dyDescent="0.3">
      <c r="A9" t="s">
        <v>1</v>
      </c>
      <c r="B9">
        <v>6</v>
      </c>
      <c r="C9">
        <v>586920</v>
      </c>
    </row>
    <row r="10" spans="1:3" x14ac:dyDescent="0.3">
      <c r="A10" t="s">
        <v>1</v>
      </c>
      <c r="B10">
        <v>7</v>
      </c>
      <c r="C10">
        <v>586920</v>
      </c>
    </row>
    <row r="11" spans="1:3" x14ac:dyDescent="0.3">
      <c r="A11" t="s">
        <v>1</v>
      </c>
      <c r="B11">
        <v>8</v>
      </c>
      <c r="C11">
        <v>586920</v>
      </c>
    </row>
    <row r="12" spans="1:3" x14ac:dyDescent="0.3">
      <c r="A12" t="s">
        <v>2</v>
      </c>
      <c r="B12">
        <v>1</v>
      </c>
      <c r="C12">
        <v>586920</v>
      </c>
    </row>
    <row r="13" spans="1:3" x14ac:dyDescent="0.3">
      <c r="A13" t="s">
        <v>2</v>
      </c>
      <c r="B13">
        <v>2</v>
      </c>
      <c r="C13">
        <v>586920</v>
      </c>
    </row>
    <row r="14" spans="1:3" x14ac:dyDescent="0.3">
      <c r="A14" t="s">
        <v>2</v>
      </c>
      <c r="B14">
        <v>3</v>
      </c>
      <c r="C14">
        <v>586920</v>
      </c>
    </row>
    <row r="15" spans="1:3" x14ac:dyDescent="0.3">
      <c r="A15" t="s">
        <v>2</v>
      </c>
      <c r="B15">
        <v>4</v>
      </c>
      <c r="C15">
        <v>586920</v>
      </c>
    </row>
    <row r="16" spans="1:3" x14ac:dyDescent="0.3">
      <c r="A16" t="s">
        <v>2</v>
      </c>
      <c r="B16">
        <v>5</v>
      </c>
      <c r="C16">
        <v>586920</v>
      </c>
    </row>
    <row r="17" spans="1:3" x14ac:dyDescent="0.3">
      <c r="A17" t="s">
        <v>2</v>
      </c>
      <c r="B17">
        <v>6</v>
      </c>
      <c r="C17">
        <v>586920</v>
      </c>
    </row>
    <row r="18" spans="1:3" x14ac:dyDescent="0.3">
      <c r="A18" t="s">
        <v>2</v>
      </c>
      <c r="B18">
        <v>7</v>
      </c>
      <c r="C18">
        <v>586920</v>
      </c>
    </row>
    <row r="19" spans="1:3" x14ac:dyDescent="0.3">
      <c r="A19" t="s">
        <v>2</v>
      </c>
      <c r="B19">
        <v>8</v>
      </c>
      <c r="C19">
        <v>586920</v>
      </c>
    </row>
    <row r="20" spans="1:3" x14ac:dyDescent="0.3">
      <c r="A20" t="s">
        <v>3</v>
      </c>
      <c r="B20">
        <v>1</v>
      </c>
      <c r="C20">
        <v>385440</v>
      </c>
    </row>
    <row r="21" spans="1:3" x14ac:dyDescent="0.3">
      <c r="A21" t="s">
        <v>3</v>
      </c>
      <c r="B21">
        <v>2</v>
      </c>
      <c r="C21">
        <v>385440</v>
      </c>
    </row>
    <row r="22" spans="1:3" x14ac:dyDescent="0.3">
      <c r="A22" t="s">
        <v>3</v>
      </c>
      <c r="B22">
        <v>3</v>
      </c>
      <c r="C22">
        <v>385440</v>
      </c>
    </row>
    <row r="23" spans="1:3" x14ac:dyDescent="0.3">
      <c r="A23" t="s">
        <v>3</v>
      </c>
      <c r="B23">
        <v>4</v>
      </c>
      <c r="C23">
        <v>385440</v>
      </c>
    </row>
    <row r="24" spans="1:3" x14ac:dyDescent="0.3">
      <c r="A24" t="s">
        <v>3</v>
      </c>
      <c r="B24">
        <v>5</v>
      </c>
      <c r="C24">
        <v>385440</v>
      </c>
    </row>
    <row r="25" spans="1:3" x14ac:dyDescent="0.3">
      <c r="A25" t="s">
        <v>3</v>
      </c>
      <c r="B25">
        <v>6</v>
      </c>
      <c r="C25">
        <v>385440</v>
      </c>
    </row>
    <row r="26" spans="1:3" x14ac:dyDescent="0.3">
      <c r="A26" t="s">
        <v>3</v>
      </c>
      <c r="B26">
        <v>7</v>
      </c>
      <c r="C26">
        <v>385440</v>
      </c>
    </row>
    <row r="27" spans="1:3" x14ac:dyDescent="0.3">
      <c r="A27" t="s">
        <v>3</v>
      </c>
      <c r="B27">
        <v>8</v>
      </c>
      <c r="C27">
        <v>385440</v>
      </c>
    </row>
    <row r="28" spans="1:3" x14ac:dyDescent="0.3">
      <c r="A28" t="s">
        <v>4</v>
      </c>
      <c r="B28">
        <v>1</v>
      </c>
      <c r="C28">
        <v>372300</v>
      </c>
    </row>
    <row r="29" spans="1:3" x14ac:dyDescent="0.3">
      <c r="A29" t="s">
        <v>4</v>
      </c>
      <c r="B29">
        <v>2</v>
      </c>
      <c r="C29">
        <v>372300</v>
      </c>
    </row>
    <row r="30" spans="1:3" x14ac:dyDescent="0.3">
      <c r="A30" t="s">
        <v>4</v>
      </c>
      <c r="B30">
        <v>3</v>
      </c>
      <c r="C30">
        <v>372300</v>
      </c>
    </row>
    <row r="31" spans="1:3" x14ac:dyDescent="0.3">
      <c r="A31" t="s">
        <v>4</v>
      </c>
      <c r="B31">
        <v>4</v>
      </c>
      <c r="C31">
        <v>372300</v>
      </c>
    </row>
    <row r="32" spans="1:3" x14ac:dyDescent="0.3">
      <c r="A32" t="s">
        <v>4</v>
      </c>
      <c r="B32">
        <v>5</v>
      </c>
      <c r="C32">
        <v>372300</v>
      </c>
    </row>
    <row r="33" spans="1:3" x14ac:dyDescent="0.3">
      <c r="A33" t="s">
        <v>4</v>
      </c>
      <c r="B33">
        <v>6</v>
      </c>
      <c r="C33">
        <v>372300</v>
      </c>
    </row>
    <row r="34" spans="1:3" x14ac:dyDescent="0.3">
      <c r="A34" t="s">
        <v>4</v>
      </c>
      <c r="B34">
        <v>7</v>
      </c>
      <c r="C34">
        <v>372300</v>
      </c>
    </row>
    <row r="35" spans="1:3" x14ac:dyDescent="0.3">
      <c r="A35" t="s">
        <v>4</v>
      </c>
      <c r="B35">
        <v>8</v>
      </c>
      <c r="C35">
        <v>372300</v>
      </c>
    </row>
    <row r="36" spans="1:3" x14ac:dyDescent="0.3">
      <c r="A36" t="s">
        <v>5</v>
      </c>
      <c r="B36">
        <v>1</v>
      </c>
      <c r="C36">
        <v>0</v>
      </c>
    </row>
    <row r="37" spans="1:3" x14ac:dyDescent="0.3">
      <c r="A37" t="s">
        <v>5</v>
      </c>
      <c r="B37">
        <v>2</v>
      </c>
      <c r="C37">
        <v>0</v>
      </c>
    </row>
    <row r="38" spans="1:3" x14ac:dyDescent="0.3">
      <c r="A38" t="s">
        <v>5</v>
      </c>
      <c r="B38">
        <v>3</v>
      </c>
      <c r="C38">
        <v>0</v>
      </c>
    </row>
    <row r="39" spans="1:3" x14ac:dyDescent="0.3">
      <c r="A39" t="s">
        <v>5</v>
      </c>
      <c r="B39">
        <v>4</v>
      </c>
      <c r="C39">
        <v>0</v>
      </c>
    </row>
    <row r="40" spans="1:3" x14ac:dyDescent="0.3">
      <c r="A40" t="s">
        <v>5</v>
      </c>
      <c r="B40">
        <v>5</v>
      </c>
      <c r="C40">
        <v>0</v>
      </c>
    </row>
    <row r="41" spans="1:3" x14ac:dyDescent="0.3">
      <c r="A41" t="s">
        <v>5</v>
      </c>
      <c r="B41">
        <v>6</v>
      </c>
      <c r="C41">
        <v>0</v>
      </c>
    </row>
    <row r="42" spans="1:3" x14ac:dyDescent="0.3">
      <c r="A42" t="s">
        <v>5</v>
      </c>
      <c r="B42">
        <v>7</v>
      </c>
      <c r="C42">
        <v>0</v>
      </c>
    </row>
    <row r="43" spans="1:3" x14ac:dyDescent="0.3">
      <c r="A43" t="s">
        <v>5</v>
      </c>
      <c r="B43">
        <v>8</v>
      </c>
      <c r="C43">
        <v>0</v>
      </c>
    </row>
    <row r="44" spans="1:3" x14ac:dyDescent="0.3">
      <c r="A44" t="s">
        <v>6</v>
      </c>
      <c r="B44">
        <v>1</v>
      </c>
      <c r="C44">
        <v>586920</v>
      </c>
    </row>
    <row r="45" spans="1:3" x14ac:dyDescent="0.3">
      <c r="A45" t="s">
        <v>6</v>
      </c>
      <c r="B45">
        <v>2</v>
      </c>
      <c r="C45">
        <v>586920</v>
      </c>
    </row>
    <row r="46" spans="1:3" x14ac:dyDescent="0.3">
      <c r="A46" t="s">
        <v>6</v>
      </c>
      <c r="B46">
        <v>3</v>
      </c>
      <c r="C46">
        <v>586920</v>
      </c>
    </row>
    <row r="47" spans="1:3" x14ac:dyDescent="0.3">
      <c r="A47" t="s">
        <v>6</v>
      </c>
      <c r="B47">
        <v>4</v>
      </c>
      <c r="C47">
        <v>586920</v>
      </c>
    </row>
    <row r="48" spans="1:3" x14ac:dyDescent="0.3">
      <c r="A48" t="s">
        <v>6</v>
      </c>
      <c r="B48">
        <v>5</v>
      </c>
      <c r="C48">
        <v>586920</v>
      </c>
    </row>
    <row r="49" spans="1:3" x14ac:dyDescent="0.3">
      <c r="A49" t="s">
        <v>6</v>
      </c>
      <c r="B49">
        <v>6</v>
      </c>
      <c r="C49">
        <v>586920</v>
      </c>
    </row>
    <row r="50" spans="1:3" x14ac:dyDescent="0.3">
      <c r="A50" t="s">
        <v>6</v>
      </c>
      <c r="B50">
        <v>7</v>
      </c>
      <c r="C50">
        <v>586920</v>
      </c>
    </row>
    <row r="51" spans="1:3" x14ac:dyDescent="0.3">
      <c r="A51" t="s">
        <v>6</v>
      </c>
      <c r="B51">
        <v>8</v>
      </c>
      <c r="C51">
        <v>586920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>
      <selection activeCell="I23" sqref="I23"/>
    </sheetView>
  </sheetViews>
  <sheetFormatPr defaultRowHeight="14.4" x14ac:dyDescent="0.3"/>
  <sheetData>
    <row r="1" spans="1:3" x14ac:dyDescent="0.3">
      <c r="A1" t="s">
        <v>43</v>
      </c>
    </row>
    <row r="2" spans="1:3" x14ac:dyDescent="0.3">
      <c r="A2" t="s">
        <v>48</v>
      </c>
    </row>
    <row r="3" spans="1:3" x14ac:dyDescent="0.3">
      <c r="A3" t="s">
        <v>37</v>
      </c>
      <c r="B3" t="s">
        <v>41</v>
      </c>
      <c r="C3" t="s">
        <v>49</v>
      </c>
    </row>
    <row r="4" spans="1:3" x14ac:dyDescent="0.3">
      <c r="A4" t="s">
        <v>1</v>
      </c>
      <c r="B4">
        <v>1</v>
      </c>
      <c r="C4">
        <v>102.96</v>
      </c>
    </row>
    <row r="5" spans="1:3" x14ac:dyDescent="0.3">
      <c r="A5" t="s">
        <v>1</v>
      </c>
      <c r="B5">
        <v>2</v>
      </c>
      <c r="C5">
        <v>102.96</v>
      </c>
    </row>
    <row r="6" spans="1:3" x14ac:dyDescent="0.3">
      <c r="A6" t="s">
        <v>1</v>
      </c>
      <c r="B6">
        <v>3</v>
      </c>
      <c r="C6">
        <v>102.96</v>
      </c>
    </row>
    <row r="7" spans="1:3" x14ac:dyDescent="0.3">
      <c r="A7" t="s">
        <v>1</v>
      </c>
      <c r="B7">
        <v>4</v>
      </c>
      <c r="C7">
        <v>102.96</v>
      </c>
    </row>
    <row r="8" spans="1:3" x14ac:dyDescent="0.3">
      <c r="A8" t="s">
        <v>1</v>
      </c>
      <c r="B8">
        <v>5</v>
      </c>
      <c r="C8">
        <v>102.96</v>
      </c>
    </row>
    <row r="9" spans="1:3" x14ac:dyDescent="0.3">
      <c r="A9" t="s">
        <v>1</v>
      </c>
      <c r="B9">
        <v>6</v>
      </c>
      <c r="C9">
        <v>102.96</v>
      </c>
    </row>
    <row r="10" spans="1:3" x14ac:dyDescent="0.3">
      <c r="A10" t="s">
        <v>1</v>
      </c>
      <c r="B10">
        <v>7</v>
      </c>
      <c r="C10">
        <v>102.96</v>
      </c>
    </row>
    <row r="11" spans="1:3" x14ac:dyDescent="0.3">
      <c r="A11" t="s">
        <v>1</v>
      </c>
      <c r="B11">
        <v>8</v>
      </c>
      <c r="C11">
        <v>102.96</v>
      </c>
    </row>
    <row r="12" spans="1:3" x14ac:dyDescent="0.3">
      <c r="A12" t="s">
        <v>2</v>
      </c>
      <c r="B12">
        <v>1</v>
      </c>
      <c r="C12">
        <v>102.96</v>
      </c>
    </row>
    <row r="13" spans="1:3" x14ac:dyDescent="0.3">
      <c r="A13" t="s">
        <v>2</v>
      </c>
      <c r="B13">
        <v>2</v>
      </c>
      <c r="C13">
        <v>102.96</v>
      </c>
    </row>
    <row r="14" spans="1:3" x14ac:dyDescent="0.3">
      <c r="A14" t="s">
        <v>2</v>
      </c>
      <c r="B14">
        <v>3</v>
      </c>
      <c r="C14">
        <v>102.96</v>
      </c>
    </row>
    <row r="15" spans="1:3" x14ac:dyDescent="0.3">
      <c r="A15" t="s">
        <v>2</v>
      </c>
      <c r="B15">
        <v>4</v>
      </c>
      <c r="C15">
        <v>102.96</v>
      </c>
    </row>
    <row r="16" spans="1:3" x14ac:dyDescent="0.3">
      <c r="A16" t="s">
        <v>2</v>
      </c>
      <c r="B16">
        <v>5</v>
      </c>
      <c r="C16">
        <v>102.96</v>
      </c>
    </row>
    <row r="17" spans="1:3" x14ac:dyDescent="0.3">
      <c r="A17" t="s">
        <v>2</v>
      </c>
      <c r="B17">
        <v>6</v>
      </c>
      <c r="C17">
        <v>102.96</v>
      </c>
    </row>
    <row r="18" spans="1:3" x14ac:dyDescent="0.3">
      <c r="A18" t="s">
        <v>2</v>
      </c>
      <c r="B18">
        <v>7</v>
      </c>
      <c r="C18">
        <v>102.96</v>
      </c>
    </row>
    <row r="19" spans="1:3" x14ac:dyDescent="0.3">
      <c r="A19" t="s">
        <v>2</v>
      </c>
      <c r="B19">
        <v>8</v>
      </c>
      <c r="C19">
        <v>102.96</v>
      </c>
    </row>
    <row r="20" spans="1:3" x14ac:dyDescent="0.3">
      <c r="A20" t="s">
        <v>3</v>
      </c>
      <c r="B20">
        <v>1</v>
      </c>
      <c r="C20">
        <v>15.68</v>
      </c>
    </row>
    <row r="21" spans="1:3" x14ac:dyDescent="0.3">
      <c r="A21" t="s">
        <v>3</v>
      </c>
      <c r="B21">
        <v>2</v>
      </c>
      <c r="C21">
        <v>15.68</v>
      </c>
    </row>
    <row r="22" spans="1:3" x14ac:dyDescent="0.3">
      <c r="A22" t="s">
        <v>3</v>
      </c>
      <c r="B22">
        <v>3</v>
      </c>
      <c r="C22">
        <v>15.68</v>
      </c>
    </row>
    <row r="23" spans="1:3" x14ac:dyDescent="0.3">
      <c r="A23" t="s">
        <v>3</v>
      </c>
      <c r="B23">
        <v>4</v>
      </c>
      <c r="C23">
        <v>15.68</v>
      </c>
    </row>
    <row r="24" spans="1:3" x14ac:dyDescent="0.3">
      <c r="A24" t="s">
        <v>3</v>
      </c>
      <c r="B24">
        <v>5</v>
      </c>
      <c r="C24">
        <v>15.68</v>
      </c>
    </row>
    <row r="25" spans="1:3" x14ac:dyDescent="0.3">
      <c r="A25" t="s">
        <v>3</v>
      </c>
      <c r="B25">
        <v>6</v>
      </c>
      <c r="C25">
        <v>15.68</v>
      </c>
    </row>
    <row r="26" spans="1:3" x14ac:dyDescent="0.3">
      <c r="A26" t="s">
        <v>3</v>
      </c>
      <c r="B26">
        <v>7</v>
      </c>
      <c r="C26">
        <v>15.68</v>
      </c>
    </row>
    <row r="27" spans="1:3" x14ac:dyDescent="0.3">
      <c r="A27" t="s">
        <v>3</v>
      </c>
      <c r="B27">
        <v>8</v>
      </c>
      <c r="C27">
        <v>15.68</v>
      </c>
    </row>
    <row r="28" spans="1:3" x14ac:dyDescent="0.3">
      <c r="A28" t="s">
        <v>4</v>
      </c>
      <c r="B28">
        <v>1</v>
      </c>
      <c r="C28">
        <v>58.68</v>
      </c>
    </row>
    <row r="29" spans="1:3" x14ac:dyDescent="0.3">
      <c r="A29" t="s">
        <v>4</v>
      </c>
      <c r="B29">
        <v>2</v>
      </c>
      <c r="C29">
        <v>58.68</v>
      </c>
    </row>
    <row r="30" spans="1:3" x14ac:dyDescent="0.3">
      <c r="A30" t="s">
        <v>4</v>
      </c>
      <c r="B30">
        <v>3</v>
      </c>
      <c r="C30">
        <v>58.68</v>
      </c>
    </row>
    <row r="31" spans="1:3" x14ac:dyDescent="0.3">
      <c r="A31" t="s">
        <v>4</v>
      </c>
      <c r="B31">
        <v>4</v>
      </c>
      <c r="C31">
        <v>58.68</v>
      </c>
    </row>
    <row r="32" spans="1:3" x14ac:dyDescent="0.3">
      <c r="A32" t="s">
        <v>4</v>
      </c>
      <c r="B32">
        <v>5</v>
      </c>
      <c r="C32">
        <v>58.68</v>
      </c>
    </row>
    <row r="33" spans="1:3" x14ac:dyDescent="0.3">
      <c r="A33" t="s">
        <v>4</v>
      </c>
      <c r="B33">
        <v>6</v>
      </c>
      <c r="C33">
        <v>58.68</v>
      </c>
    </row>
    <row r="34" spans="1:3" x14ac:dyDescent="0.3">
      <c r="A34" t="s">
        <v>4</v>
      </c>
      <c r="B34">
        <v>7</v>
      </c>
      <c r="C34">
        <v>58.68</v>
      </c>
    </row>
    <row r="35" spans="1:3" x14ac:dyDescent="0.3">
      <c r="A35" t="s">
        <v>4</v>
      </c>
      <c r="B35">
        <v>8</v>
      </c>
      <c r="C35">
        <v>58.68</v>
      </c>
    </row>
    <row r="36" spans="1:3" x14ac:dyDescent="0.3">
      <c r="A36" t="s">
        <v>5</v>
      </c>
      <c r="B36">
        <v>1</v>
      </c>
      <c r="C36">
        <v>0</v>
      </c>
    </row>
    <row r="37" spans="1:3" x14ac:dyDescent="0.3">
      <c r="A37" t="s">
        <v>5</v>
      </c>
      <c r="B37">
        <v>2</v>
      </c>
      <c r="C37">
        <v>0</v>
      </c>
    </row>
    <row r="38" spans="1:3" x14ac:dyDescent="0.3">
      <c r="A38" t="s">
        <v>5</v>
      </c>
      <c r="B38">
        <v>3</v>
      </c>
      <c r="C38">
        <v>0</v>
      </c>
    </row>
    <row r="39" spans="1:3" x14ac:dyDescent="0.3">
      <c r="A39" t="s">
        <v>5</v>
      </c>
      <c r="B39">
        <v>4</v>
      </c>
      <c r="C39">
        <v>0</v>
      </c>
    </row>
    <row r="40" spans="1:3" x14ac:dyDescent="0.3">
      <c r="A40" t="s">
        <v>5</v>
      </c>
      <c r="B40">
        <v>5</v>
      </c>
      <c r="C40">
        <v>0</v>
      </c>
    </row>
    <row r="41" spans="1:3" x14ac:dyDescent="0.3">
      <c r="A41" t="s">
        <v>5</v>
      </c>
      <c r="B41">
        <v>6</v>
      </c>
      <c r="C41">
        <v>0</v>
      </c>
    </row>
    <row r="42" spans="1:3" x14ac:dyDescent="0.3">
      <c r="A42" t="s">
        <v>5</v>
      </c>
      <c r="B42">
        <v>7</v>
      </c>
      <c r="C42">
        <v>0</v>
      </c>
    </row>
    <row r="43" spans="1:3" x14ac:dyDescent="0.3">
      <c r="A43" t="s">
        <v>5</v>
      </c>
      <c r="B43">
        <v>8</v>
      </c>
      <c r="C43">
        <v>0</v>
      </c>
    </row>
    <row r="44" spans="1:3" x14ac:dyDescent="0.3">
      <c r="A44" t="s">
        <v>6</v>
      </c>
      <c r="B44">
        <v>1</v>
      </c>
      <c r="C44">
        <v>102.96</v>
      </c>
    </row>
    <row r="45" spans="1:3" x14ac:dyDescent="0.3">
      <c r="A45" t="s">
        <v>6</v>
      </c>
      <c r="B45">
        <v>2</v>
      </c>
      <c r="C45">
        <v>102.96</v>
      </c>
    </row>
    <row r="46" spans="1:3" x14ac:dyDescent="0.3">
      <c r="A46" t="s">
        <v>6</v>
      </c>
      <c r="B46">
        <v>3</v>
      </c>
      <c r="C46">
        <v>102.96</v>
      </c>
    </row>
    <row r="47" spans="1:3" x14ac:dyDescent="0.3">
      <c r="A47" t="s">
        <v>6</v>
      </c>
      <c r="B47">
        <v>4</v>
      </c>
      <c r="C47">
        <v>102.96</v>
      </c>
    </row>
    <row r="48" spans="1:3" x14ac:dyDescent="0.3">
      <c r="A48" t="s">
        <v>6</v>
      </c>
      <c r="B48">
        <v>5</v>
      </c>
      <c r="C48">
        <v>102.96</v>
      </c>
    </row>
    <row r="49" spans="1:3" x14ac:dyDescent="0.3">
      <c r="A49" t="s">
        <v>6</v>
      </c>
      <c r="B49">
        <v>6</v>
      </c>
      <c r="C49">
        <v>102.96</v>
      </c>
    </row>
    <row r="50" spans="1:3" x14ac:dyDescent="0.3">
      <c r="A50" t="s">
        <v>6</v>
      </c>
      <c r="B50">
        <v>7</v>
      </c>
      <c r="C50">
        <v>102.96</v>
      </c>
    </row>
    <row r="51" spans="1:3" x14ac:dyDescent="0.3">
      <c r="A51" t="s">
        <v>6</v>
      </c>
      <c r="B51">
        <v>8</v>
      </c>
      <c r="C51">
        <v>102.96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1"/>
  <sheetViews>
    <sheetView workbookViewId="0">
      <selection activeCell="O15" sqref="O15"/>
    </sheetView>
  </sheetViews>
  <sheetFormatPr defaultRowHeight="14.4" x14ac:dyDescent="0.3"/>
  <sheetData>
    <row r="1" spans="1:3" x14ac:dyDescent="0.3">
      <c r="A1" t="s">
        <v>50</v>
      </c>
    </row>
    <row r="2" spans="1:3" x14ac:dyDescent="0.3">
      <c r="A2" t="s">
        <v>51</v>
      </c>
    </row>
    <row r="3" spans="1:3" x14ac:dyDescent="0.3">
      <c r="A3" t="s">
        <v>52</v>
      </c>
      <c r="B3" t="s">
        <v>41</v>
      </c>
      <c r="C3" t="s">
        <v>53</v>
      </c>
    </row>
    <row r="4" spans="1:3" x14ac:dyDescent="0.3">
      <c r="A4" t="s">
        <v>1</v>
      </c>
      <c r="B4">
        <v>1</v>
      </c>
      <c r="C4">
        <v>0</v>
      </c>
    </row>
    <row r="5" spans="1:3" x14ac:dyDescent="0.3">
      <c r="A5" t="s">
        <v>1</v>
      </c>
      <c r="B5">
        <v>2</v>
      </c>
      <c r="C5">
        <v>0</v>
      </c>
    </row>
    <row r="6" spans="1:3" x14ac:dyDescent="0.3">
      <c r="A6" t="s">
        <v>1</v>
      </c>
      <c r="B6">
        <v>3</v>
      </c>
      <c r="C6">
        <v>0</v>
      </c>
    </row>
    <row r="7" spans="1:3" x14ac:dyDescent="0.3">
      <c r="A7" t="s">
        <v>1</v>
      </c>
      <c r="B7">
        <v>4</v>
      </c>
      <c r="C7">
        <v>0</v>
      </c>
    </row>
    <row r="8" spans="1:3" x14ac:dyDescent="0.3">
      <c r="A8" t="s">
        <v>1</v>
      </c>
      <c r="B8">
        <v>5</v>
      </c>
      <c r="C8">
        <v>0</v>
      </c>
    </row>
    <row r="9" spans="1:3" x14ac:dyDescent="0.3">
      <c r="A9" t="s">
        <v>1</v>
      </c>
      <c r="B9">
        <v>6</v>
      </c>
      <c r="C9">
        <v>0</v>
      </c>
    </row>
    <row r="10" spans="1:3" x14ac:dyDescent="0.3">
      <c r="A10" t="s">
        <v>1</v>
      </c>
      <c r="B10">
        <v>7</v>
      </c>
      <c r="C10">
        <v>0</v>
      </c>
    </row>
    <row r="11" spans="1:3" x14ac:dyDescent="0.3">
      <c r="A11" t="s">
        <v>1</v>
      </c>
      <c r="B11">
        <v>8</v>
      </c>
      <c r="C11">
        <v>0</v>
      </c>
    </row>
    <row r="12" spans="1:3" x14ac:dyDescent="0.3">
      <c r="A12" t="s">
        <v>2</v>
      </c>
      <c r="B12">
        <v>1</v>
      </c>
      <c r="C12">
        <v>0</v>
      </c>
    </row>
    <row r="13" spans="1:3" x14ac:dyDescent="0.3">
      <c r="A13" t="s">
        <v>2</v>
      </c>
      <c r="B13">
        <v>2</v>
      </c>
      <c r="C13">
        <v>0</v>
      </c>
    </row>
    <row r="14" spans="1:3" x14ac:dyDescent="0.3">
      <c r="A14" t="s">
        <v>2</v>
      </c>
      <c r="B14">
        <v>3</v>
      </c>
      <c r="C14">
        <v>0</v>
      </c>
    </row>
    <row r="15" spans="1:3" x14ac:dyDescent="0.3">
      <c r="A15" t="s">
        <v>2</v>
      </c>
      <c r="B15">
        <v>4</v>
      </c>
      <c r="C15">
        <v>0</v>
      </c>
    </row>
    <row r="16" spans="1:3" x14ac:dyDescent="0.3">
      <c r="A16" t="s">
        <v>2</v>
      </c>
      <c r="B16">
        <v>5</v>
      </c>
      <c r="C16">
        <v>0</v>
      </c>
    </row>
    <row r="17" spans="1:3" x14ac:dyDescent="0.3">
      <c r="A17" t="s">
        <v>2</v>
      </c>
      <c r="B17">
        <v>6</v>
      </c>
      <c r="C17">
        <v>0</v>
      </c>
    </row>
    <row r="18" spans="1:3" x14ac:dyDescent="0.3">
      <c r="A18" t="s">
        <v>2</v>
      </c>
      <c r="B18">
        <v>7</v>
      </c>
      <c r="C18">
        <v>0</v>
      </c>
    </row>
    <row r="19" spans="1:3" x14ac:dyDescent="0.3">
      <c r="A19" t="s">
        <v>2</v>
      </c>
      <c r="B19">
        <v>8</v>
      </c>
      <c r="C19">
        <v>0</v>
      </c>
    </row>
    <row r="20" spans="1:3" x14ac:dyDescent="0.3">
      <c r="A20" t="s">
        <v>3</v>
      </c>
      <c r="B20">
        <v>1</v>
      </c>
      <c r="C20">
        <v>0</v>
      </c>
    </row>
    <row r="21" spans="1:3" x14ac:dyDescent="0.3">
      <c r="A21" t="s">
        <v>3</v>
      </c>
      <c r="B21">
        <v>2</v>
      </c>
      <c r="C21">
        <v>0</v>
      </c>
    </row>
    <row r="22" spans="1:3" x14ac:dyDescent="0.3">
      <c r="A22" t="s">
        <v>3</v>
      </c>
      <c r="B22">
        <v>3</v>
      </c>
      <c r="C22">
        <v>0</v>
      </c>
    </row>
    <row r="23" spans="1:3" x14ac:dyDescent="0.3">
      <c r="A23" t="s">
        <v>3</v>
      </c>
      <c r="B23">
        <v>4</v>
      </c>
      <c r="C23">
        <v>0</v>
      </c>
    </row>
    <row r="24" spans="1:3" x14ac:dyDescent="0.3">
      <c r="A24" t="s">
        <v>3</v>
      </c>
      <c r="B24">
        <v>5</v>
      </c>
      <c r="C24">
        <v>0</v>
      </c>
    </row>
    <row r="25" spans="1:3" x14ac:dyDescent="0.3">
      <c r="A25" t="s">
        <v>3</v>
      </c>
      <c r="B25">
        <v>6</v>
      </c>
      <c r="C25">
        <v>0</v>
      </c>
    </row>
    <row r="26" spans="1:3" x14ac:dyDescent="0.3">
      <c r="A26" t="s">
        <v>3</v>
      </c>
      <c r="B26">
        <v>7</v>
      </c>
      <c r="C26">
        <v>0</v>
      </c>
    </row>
    <row r="27" spans="1:3" x14ac:dyDescent="0.3">
      <c r="A27" t="s">
        <v>3</v>
      </c>
      <c r="B27">
        <v>8</v>
      </c>
      <c r="C27">
        <v>0</v>
      </c>
    </row>
    <row r="28" spans="1:3" x14ac:dyDescent="0.3">
      <c r="A28" t="s">
        <v>4</v>
      </c>
      <c r="B28">
        <v>1</v>
      </c>
      <c r="C28">
        <v>0</v>
      </c>
    </row>
    <row r="29" spans="1:3" x14ac:dyDescent="0.3">
      <c r="A29" t="s">
        <v>4</v>
      </c>
      <c r="B29">
        <v>2</v>
      </c>
      <c r="C29">
        <v>0</v>
      </c>
    </row>
    <row r="30" spans="1:3" x14ac:dyDescent="0.3">
      <c r="A30" t="s">
        <v>4</v>
      </c>
      <c r="B30">
        <v>3</v>
      </c>
      <c r="C30">
        <v>0</v>
      </c>
    </row>
    <row r="31" spans="1:3" x14ac:dyDescent="0.3">
      <c r="A31" t="s">
        <v>4</v>
      </c>
      <c r="B31">
        <v>4</v>
      </c>
      <c r="C31">
        <v>0</v>
      </c>
    </row>
    <row r="32" spans="1:3" x14ac:dyDescent="0.3">
      <c r="A32" t="s">
        <v>4</v>
      </c>
      <c r="B32">
        <v>5</v>
      </c>
      <c r="C32">
        <v>0</v>
      </c>
    </row>
    <row r="33" spans="1:3" x14ac:dyDescent="0.3">
      <c r="A33" t="s">
        <v>4</v>
      </c>
      <c r="B33">
        <v>6</v>
      </c>
      <c r="C33">
        <v>0</v>
      </c>
    </row>
    <row r="34" spans="1:3" x14ac:dyDescent="0.3">
      <c r="A34" t="s">
        <v>4</v>
      </c>
      <c r="B34">
        <v>7</v>
      </c>
      <c r="C34">
        <v>0</v>
      </c>
    </row>
    <row r="35" spans="1:3" x14ac:dyDescent="0.3">
      <c r="A35" t="s">
        <v>4</v>
      </c>
      <c r="B35">
        <v>8</v>
      </c>
      <c r="C35">
        <v>0</v>
      </c>
    </row>
    <row r="36" spans="1:3" x14ac:dyDescent="0.3">
      <c r="A36" t="s">
        <v>5</v>
      </c>
      <c r="B36">
        <v>1</v>
      </c>
      <c r="C36">
        <v>0</v>
      </c>
    </row>
    <row r="37" spans="1:3" x14ac:dyDescent="0.3">
      <c r="A37" t="s">
        <v>5</v>
      </c>
      <c r="B37">
        <v>2</v>
      </c>
      <c r="C37">
        <v>0</v>
      </c>
    </row>
    <row r="38" spans="1:3" x14ac:dyDescent="0.3">
      <c r="A38" t="s">
        <v>5</v>
      </c>
      <c r="B38">
        <v>3</v>
      </c>
      <c r="C38">
        <v>0</v>
      </c>
    </row>
    <row r="39" spans="1:3" x14ac:dyDescent="0.3">
      <c r="A39" t="s">
        <v>5</v>
      </c>
      <c r="B39">
        <v>4</v>
      </c>
      <c r="C39">
        <v>0</v>
      </c>
    </row>
    <row r="40" spans="1:3" x14ac:dyDescent="0.3">
      <c r="A40" t="s">
        <v>5</v>
      </c>
      <c r="B40">
        <v>5</v>
      </c>
      <c r="C40">
        <v>0</v>
      </c>
    </row>
    <row r="41" spans="1:3" x14ac:dyDescent="0.3">
      <c r="A41" t="s">
        <v>5</v>
      </c>
      <c r="B41">
        <v>6</v>
      </c>
      <c r="C41">
        <v>0</v>
      </c>
    </row>
    <row r="42" spans="1:3" x14ac:dyDescent="0.3">
      <c r="A42" t="s">
        <v>5</v>
      </c>
      <c r="B42">
        <v>7</v>
      </c>
      <c r="C42">
        <v>0</v>
      </c>
    </row>
    <row r="43" spans="1:3" x14ac:dyDescent="0.3">
      <c r="A43" t="s">
        <v>5</v>
      </c>
      <c r="B43">
        <v>8</v>
      </c>
      <c r="C43">
        <v>0</v>
      </c>
    </row>
    <row r="44" spans="1:3" x14ac:dyDescent="0.3">
      <c r="A44" t="s">
        <v>6</v>
      </c>
      <c r="B44">
        <v>1</v>
      </c>
      <c r="C44">
        <v>0</v>
      </c>
    </row>
    <row r="45" spans="1:3" x14ac:dyDescent="0.3">
      <c r="A45" t="s">
        <v>6</v>
      </c>
      <c r="B45">
        <v>2</v>
      </c>
      <c r="C45">
        <v>0</v>
      </c>
    </row>
    <row r="46" spans="1:3" x14ac:dyDescent="0.3">
      <c r="A46" t="s">
        <v>6</v>
      </c>
      <c r="B46">
        <v>3</v>
      </c>
      <c r="C46">
        <v>0</v>
      </c>
    </row>
    <row r="47" spans="1:3" x14ac:dyDescent="0.3">
      <c r="A47" t="s">
        <v>6</v>
      </c>
      <c r="B47">
        <v>4</v>
      </c>
      <c r="C47">
        <v>0</v>
      </c>
    </row>
    <row r="48" spans="1:3" x14ac:dyDescent="0.3">
      <c r="A48" t="s">
        <v>6</v>
      </c>
      <c r="B48">
        <v>5</v>
      </c>
      <c r="C48">
        <v>0</v>
      </c>
    </row>
    <row r="49" spans="1:3" x14ac:dyDescent="0.3">
      <c r="A49" t="s">
        <v>6</v>
      </c>
      <c r="B49">
        <v>6</v>
      </c>
      <c r="C49">
        <v>0</v>
      </c>
    </row>
    <row r="50" spans="1:3" x14ac:dyDescent="0.3">
      <c r="A50" t="s">
        <v>6</v>
      </c>
      <c r="B50">
        <v>7</v>
      </c>
      <c r="C50">
        <v>0</v>
      </c>
    </row>
    <row r="51" spans="1:3" x14ac:dyDescent="0.3">
      <c r="A51" t="s">
        <v>6</v>
      </c>
      <c r="B51">
        <v>8</v>
      </c>
      <c r="C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5"/>
  <sheetViews>
    <sheetView workbookViewId="0">
      <selection activeCell="H16" sqref="H16"/>
    </sheetView>
  </sheetViews>
  <sheetFormatPr defaultRowHeight="14.4" x14ac:dyDescent="0.3"/>
  <sheetData>
    <row r="1" spans="1:3" x14ac:dyDescent="0.3">
      <c r="A1" t="s">
        <v>54</v>
      </c>
    </row>
    <row r="2" spans="1:3" x14ac:dyDescent="0.3">
      <c r="A2" t="s">
        <v>55</v>
      </c>
    </row>
    <row r="3" spans="1:3" x14ac:dyDescent="0.3">
      <c r="A3" t="s">
        <v>52</v>
      </c>
      <c r="B3" t="s">
        <v>41</v>
      </c>
      <c r="C3" t="s">
        <v>56</v>
      </c>
    </row>
    <row r="4" spans="1:3" x14ac:dyDescent="0.3">
      <c r="A4" t="s">
        <v>1</v>
      </c>
      <c r="B4">
        <v>1</v>
      </c>
      <c r="C4">
        <v>0</v>
      </c>
    </row>
    <row r="5" spans="1:3" x14ac:dyDescent="0.3">
      <c r="A5" t="s">
        <v>1</v>
      </c>
      <c r="B5">
        <v>2</v>
      </c>
      <c r="C5">
        <v>0</v>
      </c>
    </row>
    <row r="6" spans="1:3" x14ac:dyDescent="0.3">
      <c r="A6" t="s">
        <v>1</v>
      </c>
      <c r="B6">
        <v>3</v>
      </c>
      <c r="C6">
        <v>0</v>
      </c>
    </row>
    <row r="7" spans="1:3" x14ac:dyDescent="0.3">
      <c r="A7" t="s">
        <v>1</v>
      </c>
      <c r="B7">
        <v>4</v>
      </c>
      <c r="C7">
        <v>0</v>
      </c>
    </row>
    <row r="8" spans="1:3" x14ac:dyDescent="0.3">
      <c r="A8" t="s">
        <v>1</v>
      </c>
      <c r="B8">
        <v>5</v>
      </c>
      <c r="C8">
        <v>0</v>
      </c>
    </row>
    <row r="9" spans="1:3" x14ac:dyDescent="0.3">
      <c r="A9" t="s">
        <v>1</v>
      </c>
      <c r="B9">
        <v>6</v>
      </c>
      <c r="C9">
        <v>0</v>
      </c>
    </row>
    <row r="10" spans="1:3" x14ac:dyDescent="0.3">
      <c r="A10" t="s">
        <v>1</v>
      </c>
      <c r="B10">
        <v>7</v>
      </c>
      <c r="C10">
        <v>0</v>
      </c>
    </row>
    <row r="11" spans="1:3" x14ac:dyDescent="0.3">
      <c r="A11" t="s">
        <v>2</v>
      </c>
      <c r="B11">
        <v>1</v>
      </c>
      <c r="C11">
        <v>0</v>
      </c>
    </row>
    <row r="12" spans="1:3" x14ac:dyDescent="0.3">
      <c r="A12" t="s">
        <v>2</v>
      </c>
      <c r="B12">
        <v>2</v>
      </c>
      <c r="C12">
        <v>0</v>
      </c>
    </row>
    <row r="13" spans="1:3" x14ac:dyDescent="0.3">
      <c r="A13" t="s">
        <v>2</v>
      </c>
      <c r="B13">
        <v>3</v>
      </c>
      <c r="C13">
        <v>0</v>
      </c>
    </row>
    <row r="14" spans="1:3" x14ac:dyDescent="0.3">
      <c r="A14" t="s">
        <v>2</v>
      </c>
      <c r="B14">
        <v>4</v>
      </c>
      <c r="C14">
        <v>0</v>
      </c>
    </row>
    <row r="15" spans="1:3" x14ac:dyDescent="0.3">
      <c r="A15" t="s">
        <v>2</v>
      </c>
      <c r="B15">
        <v>5</v>
      </c>
      <c r="C15">
        <v>0</v>
      </c>
    </row>
    <row r="16" spans="1:3" x14ac:dyDescent="0.3">
      <c r="A16" t="s">
        <v>2</v>
      </c>
      <c r="B16">
        <v>6</v>
      </c>
      <c r="C16">
        <v>0</v>
      </c>
    </row>
    <row r="17" spans="1:3" x14ac:dyDescent="0.3">
      <c r="A17" t="s">
        <v>2</v>
      </c>
      <c r="B17">
        <v>7</v>
      </c>
      <c r="C17">
        <v>0</v>
      </c>
    </row>
    <row r="18" spans="1:3" x14ac:dyDescent="0.3">
      <c r="A18" t="s">
        <v>3</v>
      </c>
      <c r="B18">
        <v>1</v>
      </c>
      <c r="C18">
        <v>56.142857142857139</v>
      </c>
    </row>
    <row r="19" spans="1:3" x14ac:dyDescent="0.3">
      <c r="A19" t="s">
        <v>3</v>
      </c>
      <c r="B19">
        <v>2</v>
      </c>
      <c r="C19">
        <v>55.285714285714278</v>
      </c>
    </row>
    <row r="20" spans="1:3" x14ac:dyDescent="0.3">
      <c r="A20" t="s">
        <v>3</v>
      </c>
      <c r="B20">
        <v>3</v>
      </c>
      <c r="C20">
        <v>54.428571428571431</v>
      </c>
    </row>
    <row r="21" spans="1:3" x14ac:dyDescent="0.3">
      <c r="A21" t="s">
        <v>3</v>
      </c>
      <c r="B21">
        <v>4</v>
      </c>
      <c r="C21">
        <v>53.571428571428569</v>
      </c>
    </row>
    <row r="22" spans="1:3" x14ac:dyDescent="0.3">
      <c r="A22" t="s">
        <v>3</v>
      </c>
      <c r="B22">
        <v>5</v>
      </c>
      <c r="C22">
        <v>52.714285714285722</v>
      </c>
    </row>
    <row r="23" spans="1:3" x14ac:dyDescent="0.3">
      <c r="A23" t="s">
        <v>3</v>
      </c>
      <c r="B23">
        <v>6</v>
      </c>
      <c r="C23">
        <v>51.857142857142847</v>
      </c>
    </row>
    <row r="24" spans="1:3" x14ac:dyDescent="0.3">
      <c r="A24" t="s">
        <v>3</v>
      </c>
      <c r="B24">
        <v>7</v>
      </c>
      <c r="C24">
        <v>51</v>
      </c>
    </row>
    <row r="25" spans="1:3" x14ac:dyDescent="0.3">
      <c r="A25" t="s">
        <v>4</v>
      </c>
      <c r="B25">
        <v>1</v>
      </c>
      <c r="C25">
        <v>0</v>
      </c>
    </row>
    <row r="26" spans="1:3" x14ac:dyDescent="0.3">
      <c r="A26" t="s">
        <v>4</v>
      </c>
      <c r="B26">
        <v>2</v>
      </c>
      <c r="C26">
        <v>0</v>
      </c>
    </row>
    <row r="27" spans="1:3" x14ac:dyDescent="0.3">
      <c r="A27" t="s">
        <v>4</v>
      </c>
      <c r="B27">
        <v>3</v>
      </c>
      <c r="C27">
        <v>0</v>
      </c>
    </row>
    <row r="28" spans="1:3" x14ac:dyDescent="0.3">
      <c r="A28" t="s">
        <v>4</v>
      </c>
      <c r="B28">
        <v>4</v>
      </c>
      <c r="C28">
        <v>0</v>
      </c>
    </row>
    <row r="29" spans="1:3" x14ac:dyDescent="0.3">
      <c r="A29" t="s">
        <v>4</v>
      </c>
      <c r="B29">
        <v>5</v>
      </c>
      <c r="C29">
        <v>0</v>
      </c>
    </row>
    <row r="30" spans="1:3" x14ac:dyDescent="0.3">
      <c r="A30" t="s">
        <v>4</v>
      </c>
      <c r="B30">
        <v>6</v>
      </c>
      <c r="C30">
        <v>0</v>
      </c>
    </row>
    <row r="31" spans="1:3" x14ac:dyDescent="0.3">
      <c r="A31" t="s">
        <v>4</v>
      </c>
      <c r="B31">
        <v>7</v>
      </c>
      <c r="C31">
        <v>0</v>
      </c>
    </row>
    <row r="32" spans="1:3" x14ac:dyDescent="0.3">
      <c r="A32" t="s">
        <v>5</v>
      </c>
      <c r="B32">
        <v>1</v>
      </c>
      <c r="C32">
        <v>0</v>
      </c>
    </row>
    <row r="33" spans="1:3" x14ac:dyDescent="0.3">
      <c r="A33" t="s">
        <v>5</v>
      </c>
      <c r="B33">
        <v>2</v>
      </c>
      <c r="C33">
        <v>0</v>
      </c>
    </row>
    <row r="34" spans="1:3" x14ac:dyDescent="0.3">
      <c r="A34" t="s">
        <v>5</v>
      </c>
      <c r="B34">
        <v>3</v>
      </c>
      <c r="C34">
        <v>0</v>
      </c>
    </row>
    <row r="35" spans="1:3" x14ac:dyDescent="0.3">
      <c r="A35" t="s">
        <v>5</v>
      </c>
      <c r="B35">
        <v>4</v>
      </c>
      <c r="C35">
        <v>0</v>
      </c>
    </row>
    <row r="36" spans="1:3" x14ac:dyDescent="0.3">
      <c r="A36" t="s">
        <v>5</v>
      </c>
      <c r="B36">
        <v>5</v>
      </c>
      <c r="C36">
        <v>0</v>
      </c>
    </row>
    <row r="37" spans="1:3" x14ac:dyDescent="0.3">
      <c r="A37" t="s">
        <v>5</v>
      </c>
      <c r="B37">
        <v>6</v>
      </c>
      <c r="C37">
        <v>0</v>
      </c>
    </row>
    <row r="38" spans="1:3" x14ac:dyDescent="0.3">
      <c r="A38" t="s">
        <v>5</v>
      </c>
      <c r="B38">
        <v>7</v>
      </c>
      <c r="C38">
        <v>0</v>
      </c>
    </row>
    <row r="39" spans="1:3" x14ac:dyDescent="0.3">
      <c r="A39" t="s">
        <v>6</v>
      </c>
      <c r="B39">
        <v>1</v>
      </c>
      <c r="C39">
        <v>0</v>
      </c>
    </row>
    <row r="40" spans="1:3" x14ac:dyDescent="0.3">
      <c r="A40" t="s">
        <v>6</v>
      </c>
      <c r="B40">
        <v>2</v>
      </c>
      <c r="C40">
        <v>0</v>
      </c>
    </row>
    <row r="41" spans="1:3" x14ac:dyDescent="0.3">
      <c r="A41" t="s">
        <v>6</v>
      </c>
      <c r="B41">
        <v>3</v>
      </c>
      <c r="C41">
        <v>0</v>
      </c>
    </row>
    <row r="42" spans="1:3" x14ac:dyDescent="0.3">
      <c r="A42" t="s">
        <v>6</v>
      </c>
      <c r="B42">
        <v>4</v>
      </c>
      <c r="C42">
        <v>0</v>
      </c>
    </row>
    <row r="43" spans="1:3" x14ac:dyDescent="0.3">
      <c r="A43" t="s">
        <v>6</v>
      </c>
      <c r="B43">
        <v>5</v>
      </c>
      <c r="C43">
        <v>0</v>
      </c>
    </row>
    <row r="44" spans="1:3" x14ac:dyDescent="0.3">
      <c r="A44" t="s">
        <v>6</v>
      </c>
      <c r="B44">
        <v>6</v>
      </c>
      <c r="C44">
        <v>0</v>
      </c>
    </row>
    <row r="45" spans="1:3" x14ac:dyDescent="0.3">
      <c r="A45" t="s">
        <v>6</v>
      </c>
      <c r="B45">
        <v>7</v>
      </c>
      <c r="C45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1"/>
  <sheetViews>
    <sheetView workbookViewId="0">
      <selection activeCell="E7" sqref="E7"/>
    </sheetView>
  </sheetViews>
  <sheetFormatPr defaultRowHeight="14.4" x14ac:dyDescent="0.3"/>
  <cols>
    <col min="1" max="1" width="20.6640625" customWidth="1"/>
  </cols>
  <sheetData>
    <row r="1" spans="1:5" x14ac:dyDescent="0.3">
      <c r="A1" t="s">
        <v>50</v>
      </c>
    </row>
    <row r="2" spans="1:5" x14ac:dyDescent="0.3">
      <c r="A2" t="s">
        <v>51</v>
      </c>
    </row>
    <row r="3" spans="1:5" x14ac:dyDescent="0.3">
      <c r="A3" t="s">
        <v>52</v>
      </c>
      <c r="B3" t="s">
        <v>41</v>
      </c>
      <c r="C3" t="s">
        <v>57</v>
      </c>
      <c r="E3" t="s">
        <v>57</v>
      </c>
    </row>
    <row r="4" spans="1:5" x14ac:dyDescent="0.3">
      <c r="A4" t="s">
        <v>1</v>
      </c>
      <c r="B4">
        <v>1</v>
      </c>
      <c r="C4">
        <v>0</v>
      </c>
      <c r="E4">
        <v>0</v>
      </c>
    </row>
    <row r="5" spans="1:5" x14ac:dyDescent="0.3">
      <c r="A5" t="s">
        <v>1</v>
      </c>
      <c r="B5">
        <v>2</v>
      </c>
      <c r="C5">
        <v>0</v>
      </c>
      <c r="E5">
        <v>0</v>
      </c>
    </row>
    <row r="6" spans="1:5" x14ac:dyDescent="0.3">
      <c r="A6" t="s">
        <v>1</v>
      </c>
      <c r="B6">
        <v>3</v>
      </c>
      <c r="C6">
        <v>0</v>
      </c>
      <c r="E6">
        <v>0</v>
      </c>
    </row>
    <row r="7" spans="1:5" x14ac:dyDescent="0.3">
      <c r="A7" t="s">
        <v>1</v>
      </c>
      <c r="B7">
        <v>4</v>
      </c>
      <c r="C7">
        <v>0</v>
      </c>
      <c r="E7">
        <v>0</v>
      </c>
    </row>
    <row r="8" spans="1:5" x14ac:dyDescent="0.3">
      <c r="A8" t="s">
        <v>1</v>
      </c>
      <c r="B8">
        <v>5</v>
      </c>
      <c r="C8">
        <v>0</v>
      </c>
      <c r="E8">
        <v>0</v>
      </c>
    </row>
    <row r="9" spans="1:5" x14ac:dyDescent="0.3">
      <c r="A9" t="s">
        <v>1</v>
      </c>
      <c r="B9">
        <v>6</v>
      </c>
      <c r="C9">
        <v>0</v>
      </c>
      <c r="E9">
        <v>0</v>
      </c>
    </row>
    <row r="10" spans="1:5" x14ac:dyDescent="0.3">
      <c r="A10" t="s">
        <v>1</v>
      </c>
      <c r="B10">
        <v>7</v>
      </c>
      <c r="C10">
        <v>0</v>
      </c>
      <c r="E10">
        <v>0</v>
      </c>
    </row>
    <row r="11" spans="1:5" x14ac:dyDescent="0.3">
      <c r="A11" t="s">
        <v>1</v>
      </c>
      <c r="B11">
        <v>8</v>
      </c>
      <c r="C11">
        <v>0</v>
      </c>
      <c r="E11">
        <v>0</v>
      </c>
    </row>
    <row r="12" spans="1:5" x14ac:dyDescent="0.3">
      <c r="A12" t="s">
        <v>2</v>
      </c>
      <c r="B12">
        <v>1</v>
      </c>
      <c r="C12">
        <v>0</v>
      </c>
      <c r="E12">
        <v>18.831600000000002</v>
      </c>
    </row>
    <row r="13" spans="1:5" x14ac:dyDescent="0.3">
      <c r="A13" t="s">
        <v>2</v>
      </c>
      <c r="B13">
        <v>2</v>
      </c>
      <c r="C13">
        <v>0</v>
      </c>
      <c r="E13">
        <v>18.831600000000002</v>
      </c>
    </row>
    <row r="14" spans="1:5" x14ac:dyDescent="0.3">
      <c r="A14" t="s">
        <v>2</v>
      </c>
      <c r="B14">
        <v>3</v>
      </c>
      <c r="C14">
        <v>0</v>
      </c>
      <c r="E14">
        <v>18.831600000000002</v>
      </c>
    </row>
    <row r="15" spans="1:5" x14ac:dyDescent="0.3">
      <c r="A15" t="s">
        <v>2</v>
      </c>
      <c r="B15">
        <v>4</v>
      </c>
      <c r="C15">
        <v>0</v>
      </c>
      <c r="E15">
        <v>18.831600000000002</v>
      </c>
    </row>
    <row r="16" spans="1:5" x14ac:dyDescent="0.3">
      <c r="A16" t="s">
        <v>2</v>
      </c>
      <c r="B16">
        <v>5</v>
      </c>
      <c r="C16">
        <v>0</v>
      </c>
      <c r="E16">
        <v>18.831600000000002</v>
      </c>
    </row>
    <row r="17" spans="1:5" x14ac:dyDescent="0.3">
      <c r="A17" t="s">
        <v>2</v>
      </c>
      <c r="B17">
        <v>6</v>
      </c>
      <c r="C17">
        <v>0</v>
      </c>
      <c r="E17">
        <v>18.831600000000002</v>
      </c>
    </row>
    <row r="18" spans="1:5" x14ac:dyDescent="0.3">
      <c r="A18" t="s">
        <v>2</v>
      </c>
      <c r="B18">
        <v>7</v>
      </c>
      <c r="C18">
        <v>0</v>
      </c>
      <c r="E18">
        <v>18.831600000000002</v>
      </c>
    </row>
    <row r="19" spans="1:5" x14ac:dyDescent="0.3">
      <c r="A19" t="s">
        <v>2</v>
      </c>
      <c r="B19">
        <v>8</v>
      </c>
      <c r="C19">
        <v>0</v>
      </c>
      <c r="E19">
        <v>18.831600000000002</v>
      </c>
    </row>
    <row r="20" spans="1:5" x14ac:dyDescent="0.3">
      <c r="A20" t="s">
        <v>3</v>
      </c>
      <c r="B20">
        <v>1</v>
      </c>
      <c r="C20">
        <v>0</v>
      </c>
      <c r="E20">
        <v>0.64800000000000002</v>
      </c>
    </row>
    <row r="21" spans="1:5" x14ac:dyDescent="0.3">
      <c r="A21" t="s">
        <v>3</v>
      </c>
      <c r="B21">
        <v>2</v>
      </c>
      <c r="C21">
        <v>0</v>
      </c>
      <c r="E21">
        <v>0.64800000000000002</v>
      </c>
    </row>
    <row r="22" spans="1:5" x14ac:dyDescent="0.3">
      <c r="A22" t="s">
        <v>3</v>
      </c>
      <c r="B22">
        <v>3</v>
      </c>
      <c r="C22">
        <v>0</v>
      </c>
      <c r="E22">
        <v>0.64800000000000002</v>
      </c>
    </row>
    <row r="23" spans="1:5" x14ac:dyDescent="0.3">
      <c r="A23" t="s">
        <v>3</v>
      </c>
      <c r="B23">
        <v>4</v>
      </c>
      <c r="C23">
        <v>0</v>
      </c>
      <c r="E23">
        <v>0.64800000000000002</v>
      </c>
    </row>
    <row r="24" spans="1:5" x14ac:dyDescent="0.3">
      <c r="A24" t="s">
        <v>3</v>
      </c>
      <c r="B24">
        <v>5</v>
      </c>
      <c r="C24">
        <v>0</v>
      </c>
      <c r="E24">
        <v>0.64800000000000002</v>
      </c>
    </row>
    <row r="25" spans="1:5" x14ac:dyDescent="0.3">
      <c r="A25" t="s">
        <v>3</v>
      </c>
      <c r="B25">
        <v>6</v>
      </c>
      <c r="C25">
        <v>0</v>
      </c>
      <c r="E25">
        <v>0.64800000000000002</v>
      </c>
    </row>
    <row r="26" spans="1:5" x14ac:dyDescent="0.3">
      <c r="A26" t="s">
        <v>3</v>
      </c>
      <c r="B26">
        <v>7</v>
      </c>
      <c r="C26">
        <v>0</v>
      </c>
      <c r="E26">
        <v>0.64800000000000002</v>
      </c>
    </row>
    <row r="27" spans="1:5" x14ac:dyDescent="0.3">
      <c r="A27" t="s">
        <v>3</v>
      </c>
      <c r="B27">
        <v>8</v>
      </c>
      <c r="C27">
        <v>0</v>
      </c>
      <c r="E27">
        <v>0.64800000000000002</v>
      </c>
    </row>
    <row r="28" spans="1:5" x14ac:dyDescent="0.3">
      <c r="A28" t="s">
        <v>4</v>
      </c>
      <c r="B28">
        <v>1</v>
      </c>
      <c r="C28">
        <v>0</v>
      </c>
      <c r="E28">
        <v>1.3680000000000001</v>
      </c>
    </row>
    <row r="29" spans="1:5" x14ac:dyDescent="0.3">
      <c r="A29" t="s">
        <v>4</v>
      </c>
      <c r="B29">
        <v>2</v>
      </c>
      <c r="C29">
        <v>0</v>
      </c>
      <c r="E29">
        <v>1.3680000000000001</v>
      </c>
    </row>
    <row r="30" spans="1:5" x14ac:dyDescent="0.3">
      <c r="A30" t="s">
        <v>4</v>
      </c>
      <c r="B30">
        <v>3</v>
      </c>
      <c r="C30">
        <v>0</v>
      </c>
      <c r="E30">
        <v>1.3680000000000001</v>
      </c>
    </row>
    <row r="31" spans="1:5" x14ac:dyDescent="0.3">
      <c r="A31" t="s">
        <v>4</v>
      </c>
      <c r="B31">
        <v>4</v>
      </c>
      <c r="C31">
        <v>0</v>
      </c>
      <c r="E31">
        <v>1.3680000000000001</v>
      </c>
    </row>
    <row r="32" spans="1:5" x14ac:dyDescent="0.3">
      <c r="A32" t="s">
        <v>4</v>
      </c>
      <c r="B32">
        <v>5</v>
      </c>
      <c r="C32">
        <v>0</v>
      </c>
      <c r="E32">
        <v>1.3680000000000001</v>
      </c>
    </row>
    <row r="33" spans="1:5" x14ac:dyDescent="0.3">
      <c r="A33" t="s">
        <v>4</v>
      </c>
      <c r="B33">
        <v>6</v>
      </c>
      <c r="C33">
        <v>0</v>
      </c>
      <c r="E33">
        <v>1.3680000000000001</v>
      </c>
    </row>
    <row r="34" spans="1:5" x14ac:dyDescent="0.3">
      <c r="A34" t="s">
        <v>4</v>
      </c>
      <c r="B34">
        <v>7</v>
      </c>
      <c r="C34">
        <v>0</v>
      </c>
      <c r="E34">
        <v>1.3680000000000001</v>
      </c>
    </row>
    <row r="35" spans="1:5" x14ac:dyDescent="0.3">
      <c r="A35" t="s">
        <v>4</v>
      </c>
      <c r="B35">
        <v>8</v>
      </c>
      <c r="C35">
        <v>0</v>
      </c>
      <c r="E35">
        <v>1.3680000000000001</v>
      </c>
    </row>
    <row r="36" spans="1:5" x14ac:dyDescent="0.3">
      <c r="A36" t="s">
        <v>5</v>
      </c>
      <c r="B36">
        <v>1</v>
      </c>
      <c r="C36">
        <v>0</v>
      </c>
      <c r="E36">
        <v>0</v>
      </c>
    </row>
    <row r="37" spans="1:5" x14ac:dyDescent="0.3">
      <c r="A37" t="s">
        <v>5</v>
      </c>
      <c r="B37">
        <v>2</v>
      </c>
      <c r="C37">
        <v>0</v>
      </c>
      <c r="E37">
        <v>0</v>
      </c>
    </row>
    <row r="38" spans="1:5" x14ac:dyDescent="0.3">
      <c r="A38" t="s">
        <v>5</v>
      </c>
      <c r="B38">
        <v>3</v>
      </c>
      <c r="C38">
        <v>0</v>
      </c>
      <c r="E38">
        <v>0</v>
      </c>
    </row>
    <row r="39" spans="1:5" x14ac:dyDescent="0.3">
      <c r="A39" t="s">
        <v>5</v>
      </c>
      <c r="B39">
        <v>4</v>
      </c>
      <c r="C39">
        <v>0</v>
      </c>
      <c r="E39">
        <v>0</v>
      </c>
    </row>
    <row r="40" spans="1:5" x14ac:dyDescent="0.3">
      <c r="A40" t="s">
        <v>5</v>
      </c>
      <c r="B40">
        <v>5</v>
      </c>
      <c r="C40">
        <v>0</v>
      </c>
      <c r="E40">
        <v>0</v>
      </c>
    </row>
    <row r="41" spans="1:5" x14ac:dyDescent="0.3">
      <c r="A41" t="s">
        <v>5</v>
      </c>
      <c r="B41">
        <v>6</v>
      </c>
      <c r="C41">
        <v>0</v>
      </c>
      <c r="E41">
        <v>0</v>
      </c>
    </row>
    <row r="42" spans="1:5" x14ac:dyDescent="0.3">
      <c r="A42" t="s">
        <v>5</v>
      </c>
      <c r="B42">
        <v>7</v>
      </c>
      <c r="C42">
        <v>0</v>
      </c>
      <c r="E42">
        <v>0</v>
      </c>
    </row>
    <row r="43" spans="1:5" x14ac:dyDescent="0.3">
      <c r="A43" t="s">
        <v>5</v>
      </c>
      <c r="B43">
        <v>8</v>
      </c>
      <c r="C43">
        <v>0</v>
      </c>
      <c r="E43">
        <v>0</v>
      </c>
    </row>
    <row r="44" spans="1:5" x14ac:dyDescent="0.3">
      <c r="A44" t="s">
        <v>6</v>
      </c>
      <c r="B44">
        <v>1</v>
      </c>
      <c r="C44">
        <v>0</v>
      </c>
      <c r="E44">
        <v>0</v>
      </c>
    </row>
    <row r="45" spans="1:5" x14ac:dyDescent="0.3">
      <c r="A45" t="s">
        <v>6</v>
      </c>
      <c r="B45">
        <v>2</v>
      </c>
      <c r="C45">
        <v>0</v>
      </c>
      <c r="E45">
        <v>0</v>
      </c>
    </row>
    <row r="46" spans="1:5" x14ac:dyDescent="0.3">
      <c r="A46" t="s">
        <v>6</v>
      </c>
      <c r="B46">
        <v>3</v>
      </c>
      <c r="C46">
        <v>0</v>
      </c>
      <c r="E46">
        <v>0</v>
      </c>
    </row>
    <row r="47" spans="1:5" x14ac:dyDescent="0.3">
      <c r="A47" t="s">
        <v>6</v>
      </c>
      <c r="B47">
        <v>4</v>
      </c>
      <c r="C47">
        <v>0</v>
      </c>
      <c r="E47">
        <v>0</v>
      </c>
    </row>
    <row r="48" spans="1:5" x14ac:dyDescent="0.3">
      <c r="A48" t="s">
        <v>6</v>
      </c>
      <c r="B48">
        <v>5</v>
      </c>
      <c r="C48">
        <v>0</v>
      </c>
      <c r="E48">
        <v>0</v>
      </c>
    </row>
    <row r="49" spans="1:5" x14ac:dyDescent="0.3">
      <c r="A49" t="s">
        <v>6</v>
      </c>
      <c r="B49">
        <v>6</v>
      </c>
      <c r="C49">
        <v>0</v>
      </c>
      <c r="E49">
        <v>0</v>
      </c>
    </row>
    <row r="50" spans="1:5" x14ac:dyDescent="0.3">
      <c r="A50" t="s">
        <v>6</v>
      </c>
      <c r="B50">
        <v>7</v>
      </c>
      <c r="C50">
        <v>0</v>
      </c>
      <c r="E50">
        <v>0</v>
      </c>
    </row>
    <row r="51" spans="1:5" x14ac:dyDescent="0.3">
      <c r="A51" t="s">
        <v>6</v>
      </c>
      <c r="B51">
        <v>8</v>
      </c>
      <c r="C51">
        <v>0</v>
      </c>
      <c r="E5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51"/>
  <sheetViews>
    <sheetView zoomScale="115" zoomScaleNormal="115" workbookViewId="0">
      <selection activeCell="J16" sqref="J16:J17"/>
    </sheetView>
  </sheetViews>
  <sheetFormatPr defaultRowHeight="14.4" x14ac:dyDescent="0.3"/>
  <sheetData>
    <row r="1" spans="1:3" x14ac:dyDescent="0.3">
      <c r="A1" t="s">
        <v>50</v>
      </c>
    </row>
    <row r="2" spans="1:3" x14ac:dyDescent="0.3">
      <c r="A2" t="s">
        <v>51</v>
      </c>
    </row>
    <row r="3" spans="1:3" x14ac:dyDescent="0.3">
      <c r="A3" t="s">
        <v>52</v>
      </c>
      <c r="B3" t="s">
        <v>41</v>
      </c>
      <c r="C3" t="s">
        <v>57</v>
      </c>
    </row>
    <row r="4" spans="1:3" x14ac:dyDescent="0.3">
      <c r="A4" t="s">
        <v>1</v>
      </c>
      <c r="B4">
        <v>1</v>
      </c>
      <c r="C4">
        <v>0</v>
      </c>
    </row>
    <row r="5" spans="1:3" x14ac:dyDescent="0.3">
      <c r="A5" t="s">
        <v>1</v>
      </c>
      <c r="B5">
        <v>2</v>
      </c>
      <c r="C5">
        <v>0</v>
      </c>
    </row>
    <row r="6" spans="1:3" x14ac:dyDescent="0.3">
      <c r="A6" t="s">
        <v>1</v>
      </c>
      <c r="B6">
        <v>3</v>
      </c>
      <c r="C6">
        <v>0</v>
      </c>
    </row>
    <row r="7" spans="1:3" x14ac:dyDescent="0.3">
      <c r="A7" t="s">
        <v>1</v>
      </c>
      <c r="B7">
        <v>4</v>
      </c>
      <c r="C7">
        <v>0</v>
      </c>
    </row>
    <row r="8" spans="1:3" x14ac:dyDescent="0.3">
      <c r="A8" t="s">
        <v>1</v>
      </c>
      <c r="B8">
        <v>5</v>
      </c>
      <c r="C8">
        <v>0</v>
      </c>
    </row>
    <row r="9" spans="1:3" x14ac:dyDescent="0.3">
      <c r="A9" t="s">
        <v>1</v>
      </c>
      <c r="B9">
        <v>6</v>
      </c>
      <c r="C9">
        <v>0</v>
      </c>
    </row>
    <row r="10" spans="1:3" x14ac:dyDescent="0.3">
      <c r="A10" t="s">
        <v>1</v>
      </c>
      <c r="B10">
        <v>7</v>
      </c>
      <c r="C10">
        <v>0</v>
      </c>
    </row>
    <row r="11" spans="1:3" x14ac:dyDescent="0.3">
      <c r="A11" t="s">
        <v>1</v>
      </c>
      <c r="B11">
        <v>8</v>
      </c>
      <c r="C11">
        <v>0</v>
      </c>
    </row>
    <row r="12" spans="1:3" x14ac:dyDescent="0.3">
      <c r="A12" t="s">
        <v>2</v>
      </c>
      <c r="B12">
        <v>1</v>
      </c>
      <c r="C12">
        <v>0</v>
      </c>
    </row>
    <row r="13" spans="1:3" x14ac:dyDescent="0.3">
      <c r="A13" t="s">
        <v>2</v>
      </c>
      <c r="B13">
        <v>2</v>
      </c>
      <c r="C13">
        <v>0</v>
      </c>
    </row>
    <row r="14" spans="1:3" x14ac:dyDescent="0.3">
      <c r="A14" t="s">
        <v>2</v>
      </c>
      <c r="B14">
        <v>3</v>
      </c>
      <c r="C14">
        <v>0</v>
      </c>
    </row>
    <row r="15" spans="1:3" x14ac:dyDescent="0.3">
      <c r="A15" t="s">
        <v>2</v>
      </c>
      <c r="B15">
        <v>4</v>
      </c>
      <c r="C15">
        <v>0</v>
      </c>
    </row>
    <row r="16" spans="1:3" x14ac:dyDescent="0.3">
      <c r="A16" t="s">
        <v>2</v>
      </c>
      <c r="B16">
        <v>5</v>
      </c>
      <c r="C16">
        <v>0</v>
      </c>
    </row>
    <row r="17" spans="1:3" x14ac:dyDescent="0.3">
      <c r="A17" t="s">
        <v>2</v>
      </c>
      <c r="B17">
        <v>6</v>
      </c>
      <c r="C17">
        <v>0</v>
      </c>
    </row>
    <row r="18" spans="1:3" x14ac:dyDescent="0.3">
      <c r="A18" t="s">
        <v>2</v>
      </c>
      <c r="B18">
        <v>7</v>
      </c>
      <c r="C18">
        <v>0</v>
      </c>
    </row>
    <row r="19" spans="1:3" x14ac:dyDescent="0.3">
      <c r="A19" t="s">
        <v>2</v>
      </c>
      <c r="B19">
        <v>8</v>
      </c>
      <c r="C19">
        <v>0</v>
      </c>
    </row>
    <row r="20" spans="1:3" x14ac:dyDescent="0.3">
      <c r="A20" t="s">
        <v>3</v>
      </c>
      <c r="B20">
        <v>1</v>
      </c>
      <c r="C20">
        <v>0</v>
      </c>
    </row>
    <row r="21" spans="1:3" x14ac:dyDescent="0.3">
      <c r="A21" t="s">
        <v>3</v>
      </c>
      <c r="B21">
        <v>2</v>
      </c>
      <c r="C21">
        <v>0</v>
      </c>
    </row>
    <row r="22" spans="1:3" x14ac:dyDescent="0.3">
      <c r="A22" t="s">
        <v>3</v>
      </c>
      <c r="B22">
        <v>3</v>
      </c>
      <c r="C22">
        <v>0</v>
      </c>
    </row>
    <row r="23" spans="1:3" x14ac:dyDescent="0.3">
      <c r="A23" t="s">
        <v>3</v>
      </c>
      <c r="B23">
        <v>4</v>
      </c>
      <c r="C23">
        <v>0</v>
      </c>
    </row>
    <row r="24" spans="1:3" x14ac:dyDescent="0.3">
      <c r="A24" t="s">
        <v>3</v>
      </c>
      <c r="B24">
        <v>5</v>
      </c>
      <c r="C24">
        <v>0</v>
      </c>
    </row>
    <row r="25" spans="1:3" x14ac:dyDescent="0.3">
      <c r="A25" t="s">
        <v>3</v>
      </c>
      <c r="B25">
        <v>6</v>
      </c>
      <c r="C25">
        <v>0</v>
      </c>
    </row>
    <row r="26" spans="1:3" x14ac:dyDescent="0.3">
      <c r="A26" t="s">
        <v>3</v>
      </c>
      <c r="B26">
        <v>7</v>
      </c>
      <c r="C26">
        <v>0</v>
      </c>
    </row>
    <row r="27" spans="1:3" x14ac:dyDescent="0.3">
      <c r="A27" t="s">
        <v>3</v>
      </c>
      <c r="B27">
        <v>8</v>
      </c>
      <c r="C27">
        <v>0</v>
      </c>
    </row>
    <row r="28" spans="1:3" x14ac:dyDescent="0.3">
      <c r="A28" t="s">
        <v>4</v>
      </c>
      <c r="B28">
        <v>1</v>
      </c>
      <c r="C28">
        <v>0</v>
      </c>
    </row>
    <row r="29" spans="1:3" x14ac:dyDescent="0.3">
      <c r="A29" t="s">
        <v>4</v>
      </c>
      <c r="B29">
        <v>2</v>
      </c>
      <c r="C29">
        <v>0</v>
      </c>
    </row>
    <row r="30" spans="1:3" x14ac:dyDescent="0.3">
      <c r="A30" t="s">
        <v>4</v>
      </c>
      <c r="B30">
        <v>3</v>
      </c>
      <c r="C30">
        <v>0</v>
      </c>
    </row>
    <row r="31" spans="1:3" x14ac:dyDescent="0.3">
      <c r="A31" t="s">
        <v>4</v>
      </c>
      <c r="B31">
        <v>4</v>
      </c>
      <c r="C31">
        <v>0</v>
      </c>
    </row>
    <row r="32" spans="1:3" x14ac:dyDescent="0.3">
      <c r="A32" t="s">
        <v>4</v>
      </c>
      <c r="B32">
        <v>5</v>
      </c>
      <c r="C32">
        <v>0</v>
      </c>
    </row>
    <row r="33" spans="1:3" x14ac:dyDescent="0.3">
      <c r="A33" t="s">
        <v>4</v>
      </c>
      <c r="B33">
        <v>6</v>
      </c>
      <c r="C33">
        <v>0</v>
      </c>
    </row>
    <row r="34" spans="1:3" x14ac:dyDescent="0.3">
      <c r="A34" t="s">
        <v>4</v>
      </c>
      <c r="B34">
        <v>7</v>
      </c>
      <c r="C34">
        <v>0</v>
      </c>
    </row>
    <row r="35" spans="1:3" x14ac:dyDescent="0.3">
      <c r="A35" t="s">
        <v>4</v>
      </c>
      <c r="B35">
        <v>8</v>
      </c>
      <c r="C35">
        <v>0</v>
      </c>
    </row>
    <row r="36" spans="1:3" x14ac:dyDescent="0.3">
      <c r="A36" t="s">
        <v>5</v>
      </c>
      <c r="B36">
        <v>1</v>
      </c>
      <c r="C36">
        <v>0</v>
      </c>
    </row>
    <row r="37" spans="1:3" x14ac:dyDescent="0.3">
      <c r="A37" t="s">
        <v>5</v>
      </c>
      <c r="B37">
        <v>2</v>
      </c>
      <c r="C37">
        <v>0</v>
      </c>
    </row>
    <row r="38" spans="1:3" x14ac:dyDescent="0.3">
      <c r="A38" t="s">
        <v>5</v>
      </c>
      <c r="B38">
        <v>3</v>
      </c>
      <c r="C38">
        <v>0</v>
      </c>
    </row>
    <row r="39" spans="1:3" x14ac:dyDescent="0.3">
      <c r="A39" t="s">
        <v>5</v>
      </c>
      <c r="B39">
        <v>4</v>
      </c>
      <c r="C39">
        <v>0</v>
      </c>
    </row>
    <row r="40" spans="1:3" x14ac:dyDescent="0.3">
      <c r="A40" t="s">
        <v>5</v>
      </c>
      <c r="B40">
        <v>5</v>
      </c>
      <c r="C40">
        <v>0</v>
      </c>
    </row>
    <row r="41" spans="1:3" x14ac:dyDescent="0.3">
      <c r="A41" t="s">
        <v>5</v>
      </c>
      <c r="B41">
        <v>6</v>
      </c>
      <c r="C41">
        <v>0</v>
      </c>
    </row>
    <row r="42" spans="1:3" x14ac:dyDescent="0.3">
      <c r="A42" t="s">
        <v>5</v>
      </c>
      <c r="B42">
        <v>7</v>
      </c>
      <c r="C42">
        <v>0</v>
      </c>
    </row>
    <row r="43" spans="1:3" x14ac:dyDescent="0.3">
      <c r="A43" t="s">
        <v>5</v>
      </c>
      <c r="B43">
        <v>8</v>
      </c>
      <c r="C43">
        <v>0</v>
      </c>
    </row>
    <row r="44" spans="1:3" x14ac:dyDescent="0.3">
      <c r="A44" t="s">
        <v>6</v>
      </c>
      <c r="B44">
        <v>1</v>
      </c>
      <c r="C44">
        <v>0</v>
      </c>
    </row>
    <row r="45" spans="1:3" x14ac:dyDescent="0.3">
      <c r="A45" t="s">
        <v>6</v>
      </c>
      <c r="B45">
        <v>2</v>
      </c>
      <c r="C45">
        <v>0</v>
      </c>
    </row>
    <row r="46" spans="1:3" x14ac:dyDescent="0.3">
      <c r="A46" t="s">
        <v>6</v>
      </c>
      <c r="B46">
        <v>3</v>
      </c>
      <c r="C46">
        <v>0</v>
      </c>
    </row>
    <row r="47" spans="1:3" x14ac:dyDescent="0.3">
      <c r="A47" t="s">
        <v>6</v>
      </c>
      <c r="B47">
        <v>4</v>
      </c>
      <c r="C47">
        <v>0</v>
      </c>
    </row>
    <row r="48" spans="1:3" x14ac:dyDescent="0.3">
      <c r="A48" t="s">
        <v>6</v>
      </c>
      <c r="B48">
        <v>5</v>
      </c>
      <c r="C48">
        <v>0</v>
      </c>
    </row>
    <row r="49" spans="1:3" x14ac:dyDescent="0.3">
      <c r="A49" t="s">
        <v>6</v>
      </c>
      <c r="B49">
        <v>6</v>
      </c>
      <c r="C49">
        <v>0</v>
      </c>
    </row>
    <row r="50" spans="1:3" x14ac:dyDescent="0.3">
      <c r="A50" t="s">
        <v>6</v>
      </c>
      <c r="B50">
        <v>7</v>
      </c>
      <c r="C50">
        <v>0</v>
      </c>
    </row>
    <row r="51" spans="1:3" x14ac:dyDescent="0.3">
      <c r="A51" t="s">
        <v>6</v>
      </c>
      <c r="B51">
        <v>8</v>
      </c>
      <c r="C5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51"/>
  <sheetViews>
    <sheetView workbookViewId="0">
      <selection activeCell="L19" sqref="L19"/>
    </sheetView>
  </sheetViews>
  <sheetFormatPr defaultRowHeight="14.4" x14ac:dyDescent="0.3"/>
  <sheetData>
    <row r="1" spans="1:3" x14ac:dyDescent="0.3">
      <c r="A1" t="s">
        <v>50</v>
      </c>
    </row>
    <row r="2" spans="1:3" x14ac:dyDescent="0.3">
      <c r="A2" t="s">
        <v>58</v>
      </c>
    </row>
    <row r="3" spans="1:3" x14ac:dyDescent="0.3">
      <c r="A3" t="s">
        <v>52</v>
      </c>
      <c r="B3" t="s">
        <v>41</v>
      </c>
      <c r="C3" t="s">
        <v>59</v>
      </c>
    </row>
    <row r="4" spans="1:3" x14ac:dyDescent="0.3">
      <c r="A4" t="s">
        <v>1</v>
      </c>
      <c r="B4">
        <v>1</v>
      </c>
      <c r="C4">
        <v>0</v>
      </c>
    </row>
    <row r="5" spans="1:3" x14ac:dyDescent="0.3">
      <c r="A5" t="s">
        <v>1</v>
      </c>
      <c r="B5">
        <v>2</v>
      </c>
      <c r="C5">
        <v>0</v>
      </c>
    </row>
    <row r="6" spans="1:3" x14ac:dyDescent="0.3">
      <c r="A6" t="s">
        <v>1</v>
      </c>
      <c r="B6">
        <v>3</v>
      </c>
      <c r="C6">
        <v>0</v>
      </c>
    </row>
    <row r="7" spans="1:3" x14ac:dyDescent="0.3">
      <c r="A7" t="s">
        <v>1</v>
      </c>
      <c r="B7">
        <v>4</v>
      </c>
      <c r="C7">
        <v>0</v>
      </c>
    </row>
    <row r="8" spans="1:3" x14ac:dyDescent="0.3">
      <c r="A8" t="s">
        <v>1</v>
      </c>
      <c r="B8">
        <v>5</v>
      </c>
      <c r="C8">
        <v>0</v>
      </c>
    </row>
    <row r="9" spans="1:3" x14ac:dyDescent="0.3">
      <c r="A9" t="s">
        <v>1</v>
      </c>
      <c r="B9">
        <v>6</v>
      </c>
      <c r="C9">
        <v>0</v>
      </c>
    </row>
    <row r="10" spans="1:3" x14ac:dyDescent="0.3">
      <c r="A10" t="s">
        <v>1</v>
      </c>
      <c r="B10">
        <v>7</v>
      </c>
      <c r="C10">
        <v>0</v>
      </c>
    </row>
    <row r="11" spans="1:3" x14ac:dyDescent="0.3">
      <c r="A11" t="s">
        <v>1</v>
      </c>
      <c r="B11">
        <v>8</v>
      </c>
      <c r="C11">
        <v>0</v>
      </c>
    </row>
    <row r="12" spans="1:3" x14ac:dyDescent="0.3">
      <c r="A12" t="s">
        <v>2</v>
      </c>
      <c r="B12">
        <v>1</v>
      </c>
      <c r="C12">
        <v>0</v>
      </c>
    </row>
    <row r="13" spans="1:3" x14ac:dyDescent="0.3">
      <c r="A13" t="s">
        <v>2</v>
      </c>
      <c r="B13">
        <v>2</v>
      </c>
      <c r="C13">
        <v>0</v>
      </c>
    </row>
    <row r="14" spans="1:3" x14ac:dyDescent="0.3">
      <c r="A14" t="s">
        <v>2</v>
      </c>
      <c r="B14">
        <v>3</v>
      </c>
      <c r="C14">
        <v>0</v>
      </c>
    </row>
    <row r="15" spans="1:3" x14ac:dyDescent="0.3">
      <c r="A15" t="s">
        <v>2</v>
      </c>
      <c r="B15">
        <v>4</v>
      </c>
      <c r="C15">
        <v>0</v>
      </c>
    </row>
    <row r="16" spans="1:3" x14ac:dyDescent="0.3">
      <c r="A16" t="s">
        <v>2</v>
      </c>
      <c r="B16">
        <v>5</v>
      </c>
      <c r="C16">
        <v>0</v>
      </c>
    </row>
    <row r="17" spans="1:3" x14ac:dyDescent="0.3">
      <c r="A17" t="s">
        <v>2</v>
      </c>
      <c r="B17">
        <v>6</v>
      </c>
      <c r="C17">
        <v>0</v>
      </c>
    </row>
    <row r="18" spans="1:3" x14ac:dyDescent="0.3">
      <c r="A18" t="s">
        <v>2</v>
      </c>
      <c r="B18">
        <v>7</v>
      </c>
      <c r="C18">
        <v>0</v>
      </c>
    </row>
    <row r="19" spans="1:3" x14ac:dyDescent="0.3">
      <c r="A19" t="s">
        <v>2</v>
      </c>
      <c r="B19">
        <v>8</v>
      </c>
      <c r="C19">
        <v>0</v>
      </c>
    </row>
    <row r="20" spans="1:3" x14ac:dyDescent="0.3">
      <c r="A20" t="s">
        <v>3</v>
      </c>
      <c r="B20">
        <v>1</v>
      </c>
      <c r="C20">
        <v>0</v>
      </c>
    </row>
    <row r="21" spans="1:3" x14ac:dyDescent="0.3">
      <c r="A21" t="s">
        <v>3</v>
      </c>
      <c r="B21">
        <v>2</v>
      </c>
      <c r="C21">
        <v>0</v>
      </c>
    </row>
    <row r="22" spans="1:3" x14ac:dyDescent="0.3">
      <c r="A22" t="s">
        <v>3</v>
      </c>
      <c r="B22">
        <v>3</v>
      </c>
      <c r="C22">
        <v>0</v>
      </c>
    </row>
    <row r="23" spans="1:3" x14ac:dyDescent="0.3">
      <c r="A23" t="s">
        <v>3</v>
      </c>
      <c r="B23">
        <v>4</v>
      </c>
      <c r="C23">
        <v>0</v>
      </c>
    </row>
    <row r="24" spans="1:3" x14ac:dyDescent="0.3">
      <c r="A24" t="s">
        <v>3</v>
      </c>
      <c r="B24">
        <v>5</v>
      </c>
      <c r="C24">
        <v>0</v>
      </c>
    </row>
    <row r="25" spans="1:3" x14ac:dyDescent="0.3">
      <c r="A25" t="s">
        <v>3</v>
      </c>
      <c r="B25">
        <v>6</v>
      </c>
      <c r="C25">
        <v>0</v>
      </c>
    </row>
    <row r="26" spans="1:3" x14ac:dyDescent="0.3">
      <c r="A26" t="s">
        <v>3</v>
      </c>
      <c r="B26">
        <v>7</v>
      </c>
      <c r="C26">
        <v>0</v>
      </c>
    </row>
    <row r="27" spans="1:3" x14ac:dyDescent="0.3">
      <c r="A27" t="s">
        <v>3</v>
      </c>
      <c r="B27">
        <v>8</v>
      </c>
      <c r="C27">
        <v>0</v>
      </c>
    </row>
    <row r="28" spans="1:3" x14ac:dyDescent="0.3">
      <c r="A28" t="s">
        <v>4</v>
      </c>
      <c r="B28">
        <v>1</v>
      </c>
      <c r="C28">
        <v>0</v>
      </c>
    </row>
    <row r="29" spans="1:3" x14ac:dyDescent="0.3">
      <c r="A29" t="s">
        <v>4</v>
      </c>
      <c r="B29">
        <v>2</v>
      </c>
      <c r="C29">
        <v>0</v>
      </c>
    </row>
    <row r="30" spans="1:3" x14ac:dyDescent="0.3">
      <c r="A30" t="s">
        <v>4</v>
      </c>
      <c r="B30">
        <v>3</v>
      </c>
      <c r="C30">
        <v>0</v>
      </c>
    </row>
    <row r="31" spans="1:3" x14ac:dyDescent="0.3">
      <c r="A31" t="s">
        <v>4</v>
      </c>
      <c r="B31">
        <v>4</v>
      </c>
      <c r="C31">
        <v>0</v>
      </c>
    </row>
    <row r="32" spans="1:3" x14ac:dyDescent="0.3">
      <c r="A32" t="s">
        <v>4</v>
      </c>
      <c r="B32">
        <v>5</v>
      </c>
      <c r="C32">
        <v>0</v>
      </c>
    </row>
    <row r="33" spans="1:3" x14ac:dyDescent="0.3">
      <c r="A33" t="s">
        <v>4</v>
      </c>
      <c r="B33">
        <v>6</v>
      </c>
      <c r="C33">
        <v>0</v>
      </c>
    </row>
    <row r="34" spans="1:3" x14ac:dyDescent="0.3">
      <c r="A34" t="s">
        <v>4</v>
      </c>
      <c r="B34">
        <v>7</v>
      </c>
      <c r="C34">
        <v>0</v>
      </c>
    </row>
    <row r="35" spans="1:3" x14ac:dyDescent="0.3">
      <c r="A35" t="s">
        <v>4</v>
      </c>
      <c r="B35">
        <v>8</v>
      </c>
      <c r="C35">
        <v>0</v>
      </c>
    </row>
    <row r="36" spans="1:3" x14ac:dyDescent="0.3">
      <c r="A36" t="s">
        <v>5</v>
      </c>
      <c r="B36">
        <v>1</v>
      </c>
      <c r="C36">
        <v>0</v>
      </c>
    </row>
    <row r="37" spans="1:3" x14ac:dyDescent="0.3">
      <c r="A37" t="s">
        <v>5</v>
      </c>
      <c r="B37">
        <v>2</v>
      </c>
      <c r="C37">
        <v>0</v>
      </c>
    </row>
    <row r="38" spans="1:3" x14ac:dyDescent="0.3">
      <c r="A38" t="s">
        <v>5</v>
      </c>
      <c r="B38">
        <v>3</v>
      </c>
      <c r="C38">
        <v>0</v>
      </c>
    </row>
    <row r="39" spans="1:3" x14ac:dyDescent="0.3">
      <c r="A39" t="s">
        <v>5</v>
      </c>
      <c r="B39">
        <v>4</v>
      </c>
      <c r="C39">
        <v>0</v>
      </c>
    </row>
    <row r="40" spans="1:3" x14ac:dyDescent="0.3">
      <c r="A40" t="s">
        <v>5</v>
      </c>
      <c r="B40">
        <v>5</v>
      </c>
      <c r="C40">
        <v>0</v>
      </c>
    </row>
    <row r="41" spans="1:3" x14ac:dyDescent="0.3">
      <c r="A41" t="s">
        <v>5</v>
      </c>
      <c r="B41">
        <v>6</v>
      </c>
      <c r="C41">
        <v>0</v>
      </c>
    </row>
    <row r="42" spans="1:3" x14ac:dyDescent="0.3">
      <c r="A42" t="s">
        <v>5</v>
      </c>
      <c r="B42">
        <v>7</v>
      </c>
      <c r="C42">
        <v>0</v>
      </c>
    </row>
    <row r="43" spans="1:3" x14ac:dyDescent="0.3">
      <c r="A43" t="s">
        <v>5</v>
      </c>
      <c r="B43">
        <v>8</v>
      </c>
      <c r="C43">
        <v>0</v>
      </c>
    </row>
    <row r="44" spans="1:3" x14ac:dyDescent="0.3">
      <c r="A44" t="s">
        <v>6</v>
      </c>
      <c r="B44">
        <v>1</v>
      </c>
      <c r="C44">
        <v>0</v>
      </c>
    </row>
    <row r="45" spans="1:3" x14ac:dyDescent="0.3">
      <c r="A45" t="s">
        <v>6</v>
      </c>
      <c r="B45">
        <v>2</v>
      </c>
      <c r="C45">
        <v>0</v>
      </c>
    </row>
    <row r="46" spans="1:3" x14ac:dyDescent="0.3">
      <c r="A46" t="s">
        <v>6</v>
      </c>
      <c r="B46">
        <v>3</v>
      </c>
      <c r="C46">
        <v>0</v>
      </c>
    </row>
    <row r="47" spans="1:3" x14ac:dyDescent="0.3">
      <c r="A47" t="s">
        <v>6</v>
      </c>
      <c r="B47">
        <v>4</v>
      </c>
      <c r="C47">
        <v>0</v>
      </c>
    </row>
    <row r="48" spans="1:3" x14ac:dyDescent="0.3">
      <c r="A48" t="s">
        <v>6</v>
      </c>
      <c r="B48">
        <v>5</v>
      </c>
      <c r="C48">
        <v>0</v>
      </c>
    </row>
    <row r="49" spans="1:3" x14ac:dyDescent="0.3">
      <c r="A49" t="s">
        <v>6</v>
      </c>
      <c r="B49">
        <v>6</v>
      </c>
      <c r="C49">
        <v>0</v>
      </c>
    </row>
    <row r="50" spans="1:3" x14ac:dyDescent="0.3">
      <c r="A50" t="s">
        <v>6</v>
      </c>
      <c r="B50">
        <v>7</v>
      </c>
      <c r="C50">
        <v>0</v>
      </c>
    </row>
    <row r="51" spans="1:3" x14ac:dyDescent="0.3">
      <c r="A51" t="s">
        <v>6</v>
      </c>
      <c r="B51">
        <v>8</v>
      </c>
      <c r="C5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9"/>
  <sheetViews>
    <sheetView workbookViewId="0">
      <selection activeCell="F1" sqref="F1:F1048576"/>
    </sheetView>
  </sheetViews>
  <sheetFormatPr defaultRowHeight="14.4" x14ac:dyDescent="0.3"/>
  <cols>
    <col min="6" max="6" width="11" bestFit="1" customWidth="1"/>
  </cols>
  <sheetData>
    <row r="1" spans="1:2" x14ac:dyDescent="0.3">
      <c r="A1" t="s">
        <v>50</v>
      </c>
    </row>
    <row r="2" spans="1:2" x14ac:dyDescent="0.3">
      <c r="A2" t="s">
        <v>60</v>
      </c>
    </row>
    <row r="3" spans="1:2" x14ac:dyDescent="0.3">
      <c r="A3" t="s">
        <v>52</v>
      </c>
      <c r="B3" t="s">
        <v>61</v>
      </c>
    </row>
    <row r="4" spans="1:2" x14ac:dyDescent="0.3">
      <c r="A4" t="s">
        <v>1</v>
      </c>
      <c r="B4">
        <v>1.6</v>
      </c>
    </row>
    <row r="5" spans="1:2" x14ac:dyDescent="0.3">
      <c r="A5" t="s">
        <v>2</v>
      </c>
      <c r="B5">
        <v>2.5000000000000001E-2</v>
      </c>
    </row>
    <row r="6" spans="1:2" x14ac:dyDescent="0.3">
      <c r="A6" t="s">
        <v>3</v>
      </c>
      <c r="B6">
        <v>0</v>
      </c>
    </row>
    <row r="7" spans="1:2" x14ac:dyDescent="0.3">
      <c r="A7" t="s">
        <v>4</v>
      </c>
      <c r="B7">
        <v>0</v>
      </c>
    </row>
    <row r="8" spans="1:2" x14ac:dyDescent="0.3">
      <c r="A8" t="s">
        <v>5</v>
      </c>
      <c r="B8">
        <v>0.04</v>
      </c>
    </row>
    <row r="9" spans="1:2" x14ac:dyDescent="0.3">
      <c r="A9" t="s">
        <v>6</v>
      </c>
      <c r="B9">
        <v>0.64000000000000012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9"/>
  <sheetViews>
    <sheetView workbookViewId="0">
      <selection activeCell="B3" sqref="B3"/>
    </sheetView>
  </sheetViews>
  <sheetFormatPr defaultRowHeight="14.4" x14ac:dyDescent="0.3"/>
  <sheetData>
    <row r="1" spans="1:2" x14ac:dyDescent="0.3">
      <c r="A1" t="s">
        <v>62</v>
      </c>
    </row>
    <row r="2" spans="1:2" x14ac:dyDescent="0.3">
      <c r="A2" t="s">
        <v>63</v>
      </c>
    </row>
    <row r="3" spans="1:2" x14ac:dyDescent="0.3">
      <c r="A3" t="s">
        <v>52</v>
      </c>
      <c r="B3" t="s">
        <v>64</v>
      </c>
    </row>
    <row r="4" spans="1:2" x14ac:dyDescent="0.3">
      <c r="A4" t="s">
        <v>1</v>
      </c>
      <c r="B4">
        <v>0</v>
      </c>
    </row>
    <row r="5" spans="1:2" x14ac:dyDescent="0.3">
      <c r="A5" t="s">
        <v>2</v>
      </c>
      <c r="B5">
        <v>0</v>
      </c>
    </row>
    <row r="6" spans="1:2" x14ac:dyDescent="0.3">
      <c r="A6" t="s">
        <v>3</v>
      </c>
      <c r="B6">
        <v>0</v>
      </c>
    </row>
    <row r="7" spans="1:2" x14ac:dyDescent="0.3">
      <c r="A7" t="s">
        <v>4</v>
      </c>
      <c r="B7">
        <v>0</v>
      </c>
    </row>
    <row r="8" spans="1:2" x14ac:dyDescent="0.3">
      <c r="A8" t="s">
        <v>5</v>
      </c>
      <c r="B8">
        <v>0</v>
      </c>
    </row>
    <row r="9" spans="1:2" x14ac:dyDescent="0.3">
      <c r="A9" t="s">
        <v>6</v>
      </c>
      <c r="B9">
        <v>0.96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44"/>
  <sheetViews>
    <sheetView workbookViewId="0"/>
  </sheetViews>
  <sheetFormatPr defaultRowHeight="14.4" x14ac:dyDescent="0.3"/>
  <cols>
    <col min="3" max="3" width="11" bestFit="1" customWidth="1"/>
  </cols>
  <sheetData>
    <row r="1" spans="1:3" x14ac:dyDescent="0.3">
      <c r="A1" t="s">
        <v>65</v>
      </c>
    </row>
    <row r="2" spans="1:3" x14ac:dyDescent="0.3">
      <c r="A2" t="s">
        <v>66</v>
      </c>
    </row>
    <row r="3" spans="1:3" x14ac:dyDescent="0.3">
      <c r="A3" t="s">
        <v>16</v>
      </c>
      <c r="B3" t="s">
        <v>41</v>
      </c>
      <c r="C3" t="s">
        <v>67</v>
      </c>
    </row>
    <row r="4" spans="1:3" x14ac:dyDescent="0.3">
      <c r="A4" t="s">
        <v>23</v>
      </c>
      <c r="B4">
        <v>1</v>
      </c>
      <c r="C4">
        <v>7726464.18583785</v>
      </c>
    </row>
    <row r="5" spans="1:3" x14ac:dyDescent="0.3">
      <c r="A5" t="s">
        <v>23</v>
      </c>
      <c r="B5">
        <v>2</v>
      </c>
      <c r="C5">
        <v>6955394.2221646225</v>
      </c>
    </row>
    <row r="6" spans="1:3" x14ac:dyDescent="0.3">
      <c r="A6" t="s">
        <v>23</v>
      </c>
      <c r="B6">
        <v>3</v>
      </c>
      <c r="C6">
        <v>6204765.9118218096</v>
      </c>
    </row>
    <row r="7" spans="1:3" x14ac:dyDescent="0.3">
      <c r="A7" t="s">
        <v>23</v>
      </c>
      <c r="B7">
        <v>4</v>
      </c>
      <c r="C7">
        <v>5768074.1433920255</v>
      </c>
    </row>
    <row r="8" spans="1:3" x14ac:dyDescent="0.3">
      <c r="A8" t="s">
        <v>23</v>
      </c>
      <c r="B8">
        <v>5</v>
      </c>
      <c r="C8">
        <v>5286139.0530828424</v>
      </c>
    </row>
    <row r="9" spans="1:3" x14ac:dyDescent="0.3">
      <c r="A9" t="s">
        <v>23</v>
      </c>
      <c r="B9">
        <v>6</v>
      </c>
      <c r="C9">
        <v>4754969.965700889</v>
      </c>
    </row>
    <row r="10" spans="1:3" x14ac:dyDescent="0.3">
      <c r="A10" t="s">
        <v>23</v>
      </c>
      <c r="B10">
        <v>7</v>
      </c>
      <c r="C10">
        <v>4170228.550036042</v>
      </c>
    </row>
    <row r="11" spans="1:3" x14ac:dyDescent="0.3">
      <c r="A11" t="s">
        <v>22</v>
      </c>
      <c r="B11">
        <v>1</v>
      </c>
      <c r="C11">
        <v>5292502.0911903866</v>
      </c>
    </row>
    <row r="12" spans="1:3" x14ac:dyDescent="0.3">
      <c r="A12" t="s">
        <v>22</v>
      </c>
      <c r="B12">
        <v>2</v>
      </c>
      <c r="C12">
        <v>4764331.7280021785</v>
      </c>
    </row>
    <row r="13" spans="1:3" x14ac:dyDescent="0.3">
      <c r="A13" t="s">
        <v>22</v>
      </c>
      <c r="B13">
        <v>3</v>
      </c>
      <c r="C13">
        <v>4250163.5643190062</v>
      </c>
    </row>
    <row r="14" spans="1:3" x14ac:dyDescent="0.3">
      <c r="A14" t="s">
        <v>22</v>
      </c>
      <c r="B14">
        <v>4</v>
      </c>
      <c r="C14">
        <v>3951036.8173321337</v>
      </c>
    </row>
    <row r="15" spans="1:3" x14ac:dyDescent="0.3">
      <c r="A15" t="s">
        <v>22</v>
      </c>
      <c r="B15">
        <v>5</v>
      </c>
      <c r="C15">
        <v>3620919.1319418922</v>
      </c>
    </row>
    <row r="16" spans="1:3" x14ac:dyDescent="0.3">
      <c r="A16" t="s">
        <v>22</v>
      </c>
      <c r="B16">
        <v>6</v>
      </c>
      <c r="C16">
        <v>3257076.9606551267</v>
      </c>
    </row>
    <row r="17" spans="1:3" x14ac:dyDescent="0.3">
      <c r="A17" t="s">
        <v>22</v>
      </c>
      <c r="B17">
        <v>7</v>
      </c>
      <c r="C17">
        <v>2856538.6172710583</v>
      </c>
    </row>
    <row r="18" spans="1:3" x14ac:dyDescent="0.3">
      <c r="A18" t="s">
        <v>34</v>
      </c>
      <c r="B18">
        <v>1</v>
      </c>
      <c r="C18">
        <v>0</v>
      </c>
    </row>
    <row r="19" spans="1:3" x14ac:dyDescent="0.3">
      <c r="A19" t="s">
        <v>34</v>
      </c>
      <c r="B19">
        <v>2</v>
      </c>
      <c r="C19">
        <v>0</v>
      </c>
    </row>
    <row r="20" spans="1:3" x14ac:dyDescent="0.3">
      <c r="A20" t="s">
        <v>34</v>
      </c>
      <c r="B20">
        <v>3</v>
      </c>
      <c r="C20">
        <v>0</v>
      </c>
    </row>
    <row r="21" spans="1:3" x14ac:dyDescent="0.3">
      <c r="A21" t="s">
        <v>34</v>
      </c>
      <c r="B21">
        <v>4</v>
      </c>
      <c r="C21">
        <v>0</v>
      </c>
    </row>
    <row r="22" spans="1:3" x14ac:dyDescent="0.3">
      <c r="A22" t="s">
        <v>34</v>
      </c>
      <c r="B22">
        <v>5</v>
      </c>
      <c r="C22">
        <v>0</v>
      </c>
    </row>
    <row r="23" spans="1:3" x14ac:dyDescent="0.3">
      <c r="A23" t="s">
        <v>34</v>
      </c>
      <c r="B23">
        <v>6</v>
      </c>
      <c r="C23">
        <v>0</v>
      </c>
    </row>
    <row r="24" spans="1:3" x14ac:dyDescent="0.3">
      <c r="A24" t="s">
        <v>34</v>
      </c>
      <c r="B24">
        <v>7</v>
      </c>
      <c r="C24">
        <v>0</v>
      </c>
    </row>
    <row r="25" spans="1:3" x14ac:dyDescent="0.3">
      <c r="A25" t="s">
        <v>36</v>
      </c>
      <c r="B25">
        <v>1</v>
      </c>
      <c r="C25">
        <v>0</v>
      </c>
    </row>
    <row r="26" spans="1:3" x14ac:dyDescent="0.3">
      <c r="A26" t="s">
        <v>36</v>
      </c>
      <c r="B26">
        <v>2</v>
      </c>
      <c r="C26">
        <v>0</v>
      </c>
    </row>
    <row r="27" spans="1:3" x14ac:dyDescent="0.3">
      <c r="A27" t="s">
        <v>36</v>
      </c>
      <c r="B27">
        <v>3</v>
      </c>
      <c r="C27">
        <v>0</v>
      </c>
    </row>
    <row r="28" spans="1:3" x14ac:dyDescent="0.3">
      <c r="A28" t="s">
        <v>36</v>
      </c>
      <c r="B28">
        <v>4</v>
      </c>
      <c r="C28">
        <v>0</v>
      </c>
    </row>
    <row r="29" spans="1:3" x14ac:dyDescent="0.3">
      <c r="A29" t="s">
        <v>36</v>
      </c>
      <c r="B29">
        <v>5</v>
      </c>
      <c r="C29">
        <v>0</v>
      </c>
    </row>
    <row r="30" spans="1:3" x14ac:dyDescent="0.3">
      <c r="A30" t="s">
        <v>36</v>
      </c>
      <c r="B30">
        <v>6</v>
      </c>
      <c r="C30">
        <v>0</v>
      </c>
    </row>
    <row r="31" spans="1:3" x14ac:dyDescent="0.3">
      <c r="A31" t="s">
        <v>36</v>
      </c>
      <c r="B31">
        <v>7</v>
      </c>
      <c r="C31">
        <v>0</v>
      </c>
    </row>
    <row r="32" spans="1:3" x14ac:dyDescent="0.3">
      <c r="A32" t="s">
        <v>27</v>
      </c>
      <c r="B32">
        <v>1</v>
      </c>
      <c r="C32">
        <v>5394917.7194513623</v>
      </c>
    </row>
    <row r="33" spans="1:3" x14ac:dyDescent="0.3">
      <c r="A33" t="s">
        <v>27</v>
      </c>
      <c r="B33">
        <v>2</v>
      </c>
      <c r="C33">
        <v>4856526.6896214178</v>
      </c>
    </row>
    <row r="34" spans="1:3" x14ac:dyDescent="0.3">
      <c r="A34" t="s">
        <v>27</v>
      </c>
      <c r="B34">
        <v>3</v>
      </c>
      <c r="C34">
        <v>4332408.8169710916</v>
      </c>
    </row>
    <row r="35" spans="1:3" x14ac:dyDescent="0.3">
      <c r="A35" t="s">
        <v>27</v>
      </c>
      <c r="B35">
        <v>4</v>
      </c>
      <c r="C35">
        <v>4027493.6445486727</v>
      </c>
    </row>
    <row r="36" spans="1:3" x14ac:dyDescent="0.3">
      <c r="A36" t="s">
        <v>27</v>
      </c>
      <c r="B36">
        <v>5</v>
      </c>
      <c r="C36">
        <v>3690987.825612755</v>
      </c>
    </row>
    <row r="37" spans="1:3" x14ac:dyDescent="0.3">
      <c r="A37" t="s">
        <v>27</v>
      </c>
      <c r="B37">
        <v>6</v>
      </c>
      <c r="C37">
        <v>3320104.9155755597</v>
      </c>
    </row>
    <row r="38" spans="1:3" x14ac:dyDescent="0.3">
      <c r="A38" t="s">
        <v>27</v>
      </c>
      <c r="B38">
        <v>7</v>
      </c>
      <c r="C38">
        <v>2911815.7229006477</v>
      </c>
    </row>
    <row r="39" spans="1:3" x14ac:dyDescent="0.3">
      <c r="A39" t="s">
        <v>29</v>
      </c>
      <c r="B39">
        <v>1</v>
      </c>
      <c r="C39">
        <v>2889086.1670111995</v>
      </c>
    </row>
    <row r="40" spans="1:3" x14ac:dyDescent="0.3">
      <c r="A40" t="s">
        <v>29</v>
      </c>
      <c r="B40">
        <v>2</v>
      </c>
      <c r="C40">
        <v>2600767.0196928992</v>
      </c>
    </row>
    <row r="41" spans="1:3" x14ac:dyDescent="0.3">
      <c r="A41" t="s">
        <v>29</v>
      </c>
      <c r="B41">
        <v>3</v>
      </c>
      <c r="C41">
        <v>2320091.4330573753</v>
      </c>
    </row>
    <row r="42" spans="1:3" x14ac:dyDescent="0.3">
      <c r="A42" t="s">
        <v>29</v>
      </c>
      <c r="B42">
        <v>4</v>
      </c>
      <c r="C42">
        <v>2156803.2695361283</v>
      </c>
    </row>
    <row r="43" spans="1:3" x14ac:dyDescent="0.3">
      <c r="A43" t="s">
        <v>29</v>
      </c>
      <c r="B43">
        <v>5</v>
      </c>
      <c r="C43">
        <v>1976597.6839900704</v>
      </c>
    </row>
    <row r="44" spans="1:3" x14ac:dyDescent="0.3">
      <c r="A44" t="s">
        <v>29</v>
      </c>
      <c r="B44">
        <v>6</v>
      </c>
      <c r="C44">
        <v>1777982.4797014152</v>
      </c>
    </row>
    <row r="45" spans="1:3" x14ac:dyDescent="0.3">
      <c r="A45" t="s">
        <v>29</v>
      </c>
      <c r="B45">
        <v>7</v>
      </c>
      <c r="C45">
        <v>1559335.4641140825</v>
      </c>
    </row>
    <row r="46" spans="1:3" x14ac:dyDescent="0.3">
      <c r="A46" t="s">
        <v>19</v>
      </c>
      <c r="B46">
        <v>1</v>
      </c>
      <c r="C46">
        <v>10813183.657549191</v>
      </c>
    </row>
    <row r="47" spans="1:3" x14ac:dyDescent="0.3">
      <c r="A47" t="s">
        <v>19</v>
      </c>
      <c r="B47">
        <v>2</v>
      </c>
      <c r="C47">
        <v>9734071.5398355089</v>
      </c>
    </row>
    <row r="48" spans="1:3" x14ac:dyDescent="0.3">
      <c r="A48" t="s">
        <v>19</v>
      </c>
      <c r="B48">
        <v>3</v>
      </c>
      <c r="C48">
        <v>8683567.5080987085</v>
      </c>
    </row>
    <row r="49" spans="1:3" x14ac:dyDescent="0.3">
      <c r="A49" t="s">
        <v>19</v>
      </c>
      <c r="B49">
        <v>4</v>
      </c>
      <c r="C49">
        <v>8072417.5460725613</v>
      </c>
    </row>
    <row r="50" spans="1:3" x14ac:dyDescent="0.3">
      <c r="A50" t="s">
        <v>19</v>
      </c>
      <c r="B50">
        <v>5</v>
      </c>
      <c r="C50">
        <v>7397949.5724705243</v>
      </c>
    </row>
    <row r="51" spans="1:3" x14ac:dyDescent="0.3">
      <c r="A51" t="s">
        <v>19</v>
      </c>
      <c r="B51">
        <v>6</v>
      </c>
      <c r="C51">
        <v>6654578.6388937421</v>
      </c>
    </row>
    <row r="52" spans="1:3" x14ac:dyDescent="0.3">
      <c r="A52" t="s">
        <v>19</v>
      </c>
      <c r="B52">
        <v>7</v>
      </c>
      <c r="C52">
        <v>5836233.2524815686</v>
      </c>
    </row>
    <row r="53" spans="1:3" x14ac:dyDescent="0.3">
      <c r="A53" t="s">
        <v>17</v>
      </c>
      <c r="B53">
        <v>1</v>
      </c>
      <c r="C53">
        <v>33077420.475966245</v>
      </c>
    </row>
    <row r="54" spans="1:3" x14ac:dyDescent="0.3">
      <c r="A54" t="s">
        <v>17</v>
      </c>
      <c r="B54">
        <v>2</v>
      </c>
      <c r="C54">
        <v>29776427.319024343</v>
      </c>
    </row>
    <row r="55" spans="1:3" x14ac:dyDescent="0.3">
      <c r="A55" t="s">
        <v>17</v>
      </c>
      <c r="B55">
        <v>3</v>
      </c>
      <c r="C55">
        <v>26562946.010474037</v>
      </c>
    </row>
    <row r="56" spans="1:3" x14ac:dyDescent="0.3">
      <c r="A56" t="s">
        <v>17</v>
      </c>
      <c r="B56">
        <v>4</v>
      </c>
      <c r="C56">
        <v>24693444.399475653</v>
      </c>
    </row>
    <row r="57" spans="1:3" x14ac:dyDescent="0.3">
      <c r="A57" t="s">
        <v>17</v>
      </c>
      <c r="B57">
        <v>5</v>
      </c>
      <c r="C57">
        <v>22630253.625421606</v>
      </c>
    </row>
    <row r="58" spans="1:3" x14ac:dyDescent="0.3">
      <c r="A58" t="s">
        <v>17</v>
      </c>
      <c r="B58">
        <v>6</v>
      </c>
      <c r="C58">
        <v>20356289.387112916</v>
      </c>
    </row>
    <row r="59" spans="1:3" x14ac:dyDescent="0.3">
      <c r="A59" t="s">
        <v>17</v>
      </c>
      <c r="B59">
        <v>7</v>
      </c>
      <c r="C59">
        <v>17852979.048716456</v>
      </c>
    </row>
    <row r="60" spans="1:3" x14ac:dyDescent="0.3">
      <c r="A60" t="s">
        <v>24</v>
      </c>
      <c r="B60">
        <v>1</v>
      </c>
      <c r="C60">
        <v>9961398.5101952292</v>
      </c>
    </row>
    <row r="61" spans="1:3" x14ac:dyDescent="0.3">
      <c r="A61" t="s">
        <v>24</v>
      </c>
      <c r="B61">
        <v>2</v>
      </c>
      <c r="C61">
        <v>8967291.1148009058</v>
      </c>
    </row>
    <row r="62" spans="1:3" x14ac:dyDescent="0.3">
      <c r="A62" t="s">
        <v>24</v>
      </c>
      <c r="B62">
        <v>3</v>
      </c>
      <c r="C62">
        <v>7999538.2653067335</v>
      </c>
    </row>
    <row r="63" spans="1:3" x14ac:dyDescent="0.3">
      <c r="A63" t="s">
        <v>24</v>
      </c>
      <c r="B63">
        <v>4</v>
      </c>
      <c r="C63">
        <v>7436530.3192627495</v>
      </c>
    </row>
    <row r="64" spans="1:3" x14ac:dyDescent="0.3">
      <c r="A64" t="s">
        <v>24</v>
      </c>
      <c r="B64">
        <v>5</v>
      </c>
      <c r="C64">
        <v>6815192.1010107081</v>
      </c>
    </row>
    <row r="65" spans="1:3" x14ac:dyDescent="0.3">
      <c r="A65" t="s">
        <v>24</v>
      </c>
      <c r="B65">
        <v>6</v>
      </c>
      <c r="C65">
        <v>6130378.6043783436</v>
      </c>
    </row>
    <row r="66" spans="1:3" x14ac:dyDescent="0.3">
      <c r="A66" t="s">
        <v>24</v>
      </c>
      <c r="B66">
        <v>7</v>
      </c>
      <c r="C66">
        <v>5376496.6052189041</v>
      </c>
    </row>
    <row r="67" spans="1:3" x14ac:dyDescent="0.3">
      <c r="A67" t="s">
        <v>33</v>
      </c>
      <c r="B67">
        <v>1</v>
      </c>
      <c r="C67">
        <v>0</v>
      </c>
    </row>
    <row r="68" spans="1:3" x14ac:dyDescent="0.3">
      <c r="A68" t="s">
        <v>33</v>
      </c>
      <c r="B68">
        <v>2</v>
      </c>
      <c r="C68">
        <v>0</v>
      </c>
    </row>
    <row r="69" spans="1:3" x14ac:dyDescent="0.3">
      <c r="A69" t="s">
        <v>33</v>
      </c>
      <c r="B69">
        <v>3</v>
      </c>
      <c r="C69">
        <v>0</v>
      </c>
    </row>
    <row r="70" spans="1:3" x14ac:dyDescent="0.3">
      <c r="A70" t="s">
        <v>33</v>
      </c>
      <c r="B70">
        <v>4</v>
      </c>
      <c r="C70">
        <v>0</v>
      </c>
    </row>
    <row r="71" spans="1:3" x14ac:dyDescent="0.3">
      <c r="A71" t="s">
        <v>33</v>
      </c>
      <c r="B71">
        <v>5</v>
      </c>
      <c r="C71">
        <v>0</v>
      </c>
    </row>
    <row r="72" spans="1:3" x14ac:dyDescent="0.3">
      <c r="A72" t="s">
        <v>33</v>
      </c>
      <c r="B72">
        <v>6</v>
      </c>
      <c r="C72">
        <v>0</v>
      </c>
    </row>
    <row r="73" spans="1:3" x14ac:dyDescent="0.3">
      <c r="A73" t="s">
        <v>33</v>
      </c>
      <c r="B73">
        <v>7</v>
      </c>
      <c r="C73">
        <v>0</v>
      </c>
    </row>
    <row r="74" spans="1:3" x14ac:dyDescent="0.3">
      <c r="A74" t="s">
        <v>32</v>
      </c>
      <c r="B74">
        <v>1</v>
      </c>
      <c r="C74">
        <v>1658610.6109279536</v>
      </c>
    </row>
    <row r="75" spans="1:3" x14ac:dyDescent="0.3">
      <c r="A75" t="s">
        <v>32</v>
      </c>
      <c r="B75">
        <v>2</v>
      </c>
      <c r="C75">
        <v>1493087.9614008379</v>
      </c>
    </row>
    <row r="76" spans="1:3" x14ac:dyDescent="0.3">
      <c r="A76" t="s">
        <v>32</v>
      </c>
      <c r="B76">
        <v>3</v>
      </c>
      <c r="C76">
        <v>1331953.4436637959</v>
      </c>
    </row>
    <row r="77" spans="1:3" x14ac:dyDescent="0.3">
      <c r="A77" t="s">
        <v>32</v>
      </c>
      <c r="B77">
        <v>4</v>
      </c>
      <c r="C77">
        <v>1238210.4865489316</v>
      </c>
    </row>
    <row r="78" spans="1:3" x14ac:dyDescent="0.3">
      <c r="A78" t="s">
        <v>32</v>
      </c>
      <c r="B78">
        <v>5</v>
      </c>
      <c r="C78">
        <v>1134755.3180087756</v>
      </c>
    </row>
    <row r="79" spans="1:3" x14ac:dyDescent="0.3">
      <c r="A79" t="s">
        <v>32</v>
      </c>
      <c r="B79">
        <v>6</v>
      </c>
      <c r="C79">
        <v>1020731.2750133456</v>
      </c>
    </row>
    <row r="80" spans="1:3" x14ac:dyDescent="0.3">
      <c r="A80" t="s">
        <v>32</v>
      </c>
      <c r="B80">
        <v>7</v>
      </c>
      <c r="C80">
        <v>895207.06454092287</v>
      </c>
    </row>
    <row r="81" spans="1:3" x14ac:dyDescent="0.3">
      <c r="A81" t="s">
        <v>18</v>
      </c>
      <c r="B81">
        <v>1</v>
      </c>
      <c r="C81">
        <v>5273152.3677990623</v>
      </c>
    </row>
    <row r="82" spans="1:3" x14ac:dyDescent="0.3">
      <c r="A82" t="s">
        <v>18</v>
      </c>
      <c r="B82">
        <v>2</v>
      </c>
      <c r="C82">
        <v>4746913.0289647607</v>
      </c>
    </row>
    <row r="83" spans="1:3" x14ac:dyDescent="0.3">
      <c r="A83" t="s">
        <v>18</v>
      </c>
      <c r="B83">
        <v>3</v>
      </c>
      <c r="C83">
        <v>4234624.6967058331</v>
      </c>
    </row>
    <row r="84" spans="1:3" x14ac:dyDescent="0.3">
      <c r="A84" t="s">
        <v>18</v>
      </c>
      <c r="B84">
        <v>4</v>
      </c>
      <c r="C84">
        <v>3936591.5760819567</v>
      </c>
    </row>
    <row r="85" spans="1:3" x14ac:dyDescent="0.3">
      <c r="A85" t="s">
        <v>18</v>
      </c>
      <c r="B85">
        <v>5</v>
      </c>
      <c r="C85">
        <v>3607680.8218915192</v>
      </c>
    </row>
    <row r="86" spans="1:3" x14ac:dyDescent="0.3">
      <c r="A86" t="s">
        <v>18</v>
      </c>
      <c r="B86">
        <v>6</v>
      </c>
      <c r="C86">
        <v>3245168.8806644101</v>
      </c>
    </row>
    <row r="87" spans="1:3" x14ac:dyDescent="0.3">
      <c r="A87" t="s">
        <v>18</v>
      </c>
      <c r="B87">
        <v>7</v>
      </c>
      <c r="C87">
        <v>2846094.9308731193</v>
      </c>
    </row>
    <row r="88" spans="1:3" x14ac:dyDescent="0.3">
      <c r="A88" t="s">
        <v>31</v>
      </c>
      <c r="B88">
        <v>1</v>
      </c>
      <c r="C88">
        <v>0</v>
      </c>
    </row>
    <row r="89" spans="1:3" x14ac:dyDescent="0.3">
      <c r="A89" t="s">
        <v>31</v>
      </c>
      <c r="B89">
        <v>2</v>
      </c>
      <c r="C89">
        <v>0</v>
      </c>
    </row>
    <row r="90" spans="1:3" x14ac:dyDescent="0.3">
      <c r="A90" t="s">
        <v>31</v>
      </c>
      <c r="B90">
        <v>3</v>
      </c>
      <c r="C90">
        <v>0</v>
      </c>
    </row>
    <row r="91" spans="1:3" x14ac:dyDescent="0.3">
      <c r="A91" t="s">
        <v>31</v>
      </c>
      <c r="B91">
        <v>4</v>
      </c>
      <c r="C91">
        <v>0</v>
      </c>
    </row>
    <row r="92" spans="1:3" x14ac:dyDescent="0.3">
      <c r="A92" t="s">
        <v>31</v>
      </c>
      <c r="B92">
        <v>5</v>
      </c>
      <c r="C92">
        <v>0</v>
      </c>
    </row>
    <row r="93" spans="1:3" x14ac:dyDescent="0.3">
      <c r="A93" t="s">
        <v>31</v>
      </c>
      <c r="B93">
        <v>6</v>
      </c>
      <c r="C93">
        <v>0</v>
      </c>
    </row>
    <row r="94" spans="1:3" x14ac:dyDescent="0.3">
      <c r="A94" t="s">
        <v>31</v>
      </c>
      <c r="B94">
        <v>7</v>
      </c>
      <c r="C94">
        <v>0</v>
      </c>
    </row>
    <row r="95" spans="1:3" x14ac:dyDescent="0.3">
      <c r="A95" t="s">
        <v>25</v>
      </c>
      <c r="B95">
        <v>1</v>
      </c>
      <c r="C95">
        <v>7580846.5387907084</v>
      </c>
    </row>
    <row r="96" spans="1:3" x14ac:dyDescent="0.3">
      <c r="A96" t="s">
        <v>25</v>
      </c>
      <c r="B96">
        <v>2</v>
      </c>
      <c r="C96">
        <v>6824308.6289933817</v>
      </c>
    </row>
    <row r="97" spans="1:3" x14ac:dyDescent="0.3">
      <c r="A97" t="s">
        <v>25</v>
      </c>
      <c r="B97">
        <v>3</v>
      </c>
      <c r="C97">
        <v>6087827.1166852312</v>
      </c>
    </row>
    <row r="98" spans="1:3" x14ac:dyDescent="0.3">
      <c r="A98" t="s">
        <v>25</v>
      </c>
      <c r="B98">
        <v>4</v>
      </c>
      <c r="C98">
        <v>5659365.5071320208</v>
      </c>
    </row>
    <row r="99" spans="1:3" x14ac:dyDescent="0.3">
      <c r="A99" t="s">
        <v>25</v>
      </c>
      <c r="B99">
        <v>5</v>
      </c>
      <c r="C99">
        <v>5186513.2588825859</v>
      </c>
    </row>
    <row r="100" spans="1:3" x14ac:dyDescent="0.3">
      <c r="A100" t="s">
        <v>25</v>
      </c>
      <c r="B100">
        <v>6</v>
      </c>
      <c r="C100">
        <v>4665354.9074373255</v>
      </c>
    </row>
    <row r="101" spans="1:3" x14ac:dyDescent="0.3">
      <c r="A101" t="s">
        <v>25</v>
      </c>
      <c r="B101">
        <v>7</v>
      </c>
      <c r="C101">
        <v>4091633.8844167884</v>
      </c>
    </row>
    <row r="102" spans="1:3" x14ac:dyDescent="0.3">
      <c r="A102" t="s">
        <v>21</v>
      </c>
      <c r="B102">
        <v>1</v>
      </c>
      <c r="C102">
        <v>5856073.1031275615</v>
      </c>
    </row>
    <row r="103" spans="1:3" x14ac:dyDescent="0.3">
      <c r="A103" t="s">
        <v>21</v>
      </c>
      <c r="B103">
        <v>2</v>
      </c>
      <c r="C103">
        <v>5271660.6259206049</v>
      </c>
    </row>
    <row r="104" spans="1:3" x14ac:dyDescent="0.3">
      <c r="A104" t="s">
        <v>21</v>
      </c>
      <c r="B104">
        <v>3</v>
      </c>
      <c r="C104">
        <v>4702741.3695935309</v>
      </c>
    </row>
    <row r="105" spans="1:3" x14ac:dyDescent="0.3">
      <c r="A105" t="s">
        <v>21</v>
      </c>
      <c r="B105">
        <v>4</v>
      </c>
      <c r="C105">
        <v>4371762.1716123587</v>
      </c>
    </row>
    <row r="106" spans="1:3" x14ac:dyDescent="0.3">
      <c r="A106" t="s">
        <v>21</v>
      </c>
      <c r="B106">
        <v>5</v>
      </c>
      <c r="C106">
        <v>4006491.9714364521</v>
      </c>
    </row>
    <row r="107" spans="1:3" x14ac:dyDescent="0.3">
      <c r="A107" t="s">
        <v>21</v>
      </c>
      <c r="B107">
        <v>6</v>
      </c>
      <c r="C107">
        <v>3603906.1403221693</v>
      </c>
    </row>
    <row r="108" spans="1:3" x14ac:dyDescent="0.3">
      <c r="A108" t="s">
        <v>21</v>
      </c>
      <c r="B108">
        <v>7</v>
      </c>
      <c r="C108">
        <v>3160716.5526662585</v>
      </c>
    </row>
    <row r="109" spans="1:3" x14ac:dyDescent="0.3">
      <c r="A109" t="s">
        <v>30</v>
      </c>
      <c r="B109">
        <v>1</v>
      </c>
      <c r="C109">
        <v>2470856.5504533881</v>
      </c>
    </row>
    <row r="110" spans="1:3" x14ac:dyDescent="0.3">
      <c r="A110" t="s">
        <v>30</v>
      </c>
      <c r="B110">
        <v>2</v>
      </c>
      <c r="C110">
        <v>2224275.0320802135</v>
      </c>
    </row>
    <row r="111" spans="1:3" x14ac:dyDescent="0.3">
      <c r="A111" t="s">
        <v>30</v>
      </c>
      <c r="B111">
        <v>3</v>
      </c>
      <c r="C111">
        <v>1984230.5779862124</v>
      </c>
    </row>
    <row r="112" spans="1:3" x14ac:dyDescent="0.3">
      <c r="A112" t="s">
        <v>30</v>
      </c>
      <c r="B112">
        <v>4</v>
      </c>
      <c r="C112">
        <v>1844580.3200413748</v>
      </c>
    </row>
    <row r="113" spans="1:3" x14ac:dyDescent="0.3">
      <c r="A113" t="s">
        <v>30</v>
      </c>
      <c r="B113">
        <v>5</v>
      </c>
      <c r="C113">
        <v>1690461.6383076985</v>
      </c>
    </row>
    <row r="114" spans="1:3" x14ac:dyDescent="0.3">
      <c r="A114" t="s">
        <v>30</v>
      </c>
      <c r="B114">
        <v>6</v>
      </c>
      <c r="C114">
        <v>1520598.3493065436</v>
      </c>
    </row>
    <row r="115" spans="1:3" x14ac:dyDescent="0.3">
      <c r="A115" t="s">
        <v>30</v>
      </c>
      <c r="B115">
        <v>7</v>
      </c>
      <c r="C115">
        <v>1333603.0921661393</v>
      </c>
    </row>
    <row r="116" spans="1:3" x14ac:dyDescent="0.3">
      <c r="A116" t="s">
        <v>28</v>
      </c>
      <c r="B116">
        <v>1</v>
      </c>
      <c r="C116">
        <v>4661809.6282126978</v>
      </c>
    </row>
    <row r="117" spans="1:3" x14ac:dyDescent="0.3">
      <c r="A117" t="s">
        <v>28</v>
      </c>
      <c r="B117">
        <v>2</v>
      </c>
      <c r="C117">
        <v>4196579.8291454706</v>
      </c>
    </row>
    <row r="118" spans="1:3" x14ac:dyDescent="0.3">
      <c r="A118" t="s">
        <v>28</v>
      </c>
      <c r="B118">
        <v>3</v>
      </c>
      <c r="C118">
        <v>3743683.6271829824</v>
      </c>
    </row>
    <row r="119" spans="1:3" x14ac:dyDescent="0.3">
      <c r="A119" t="s">
        <v>28</v>
      </c>
      <c r="B119">
        <v>4</v>
      </c>
      <c r="C119">
        <v>3480202.9662153632</v>
      </c>
    </row>
    <row r="120" spans="1:3" x14ac:dyDescent="0.3">
      <c r="A120" t="s">
        <v>28</v>
      </c>
      <c r="B120">
        <v>5</v>
      </c>
      <c r="C120">
        <v>3189424.4690736877</v>
      </c>
    </row>
    <row r="121" spans="1:3" x14ac:dyDescent="0.3">
      <c r="A121" t="s">
        <v>28</v>
      </c>
      <c r="B121">
        <v>6</v>
      </c>
      <c r="C121">
        <v>2868940.3373663425</v>
      </c>
    </row>
    <row r="122" spans="1:3" x14ac:dyDescent="0.3">
      <c r="A122" t="s">
        <v>28</v>
      </c>
      <c r="B122">
        <v>7</v>
      </c>
      <c r="C122">
        <v>2516133.0123084439</v>
      </c>
    </row>
    <row r="123" spans="1:3" x14ac:dyDescent="0.3">
      <c r="A123" t="s">
        <v>35</v>
      </c>
      <c r="B123">
        <v>1</v>
      </c>
      <c r="C123">
        <v>0</v>
      </c>
    </row>
    <row r="124" spans="1:3" x14ac:dyDescent="0.3">
      <c r="A124" t="s">
        <v>35</v>
      </c>
      <c r="B124">
        <v>2</v>
      </c>
      <c r="C124">
        <v>0</v>
      </c>
    </row>
    <row r="125" spans="1:3" x14ac:dyDescent="0.3">
      <c r="A125" t="s">
        <v>35</v>
      </c>
      <c r="B125">
        <v>3</v>
      </c>
      <c r="C125">
        <v>0</v>
      </c>
    </row>
    <row r="126" spans="1:3" x14ac:dyDescent="0.3">
      <c r="A126" t="s">
        <v>35</v>
      </c>
      <c r="B126">
        <v>4</v>
      </c>
      <c r="C126">
        <v>0</v>
      </c>
    </row>
    <row r="127" spans="1:3" x14ac:dyDescent="0.3">
      <c r="A127" t="s">
        <v>35</v>
      </c>
      <c r="B127">
        <v>5</v>
      </c>
      <c r="C127">
        <v>0</v>
      </c>
    </row>
    <row r="128" spans="1:3" x14ac:dyDescent="0.3">
      <c r="A128" t="s">
        <v>35</v>
      </c>
      <c r="B128">
        <v>6</v>
      </c>
      <c r="C128">
        <v>0</v>
      </c>
    </row>
    <row r="129" spans="1:3" x14ac:dyDescent="0.3">
      <c r="A129" t="s">
        <v>35</v>
      </c>
      <c r="B129">
        <v>7</v>
      </c>
      <c r="C129">
        <v>0</v>
      </c>
    </row>
    <row r="130" spans="1:3" x14ac:dyDescent="0.3">
      <c r="A130" t="s">
        <v>20</v>
      </c>
      <c r="B130">
        <v>1</v>
      </c>
      <c r="C130">
        <v>5173798.6205729926</v>
      </c>
    </row>
    <row r="131" spans="1:3" x14ac:dyDescent="0.3">
      <c r="A131" t="s">
        <v>20</v>
      </c>
      <c r="B131">
        <v>2</v>
      </c>
      <c r="C131">
        <v>4657474.3850022024</v>
      </c>
    </row>
    <row r="132" spans="1:3" x14ac:dyDescent="0.3">
      <c r="A132" t="s">
        <v>20</v>
      </c>
      <c r="B132">
        <v>3</v>
      </c>
      <c r="C132">
        <v>4154838.2990506124</v>
      </c>
    </row>
    <row r="133" spans="1:3" x14ac:dyDescent="0.3">
      <c r="A133" t="s">
        <v>20</v>
      </c>
      <c r="B133">
        <v>4</v>
      </c>
      <c r="C133">
        <v>3862420.5495114555</v>
      </c>
    </row>
    <row r="134" spans="1:3" x14ac:dyDescent="0.3">
      <c r="A134" t="s">
        <v>20</v>
      </c>
      <c r="B134">
        <v>5</v>
      </c>
      <c r="C134">
        <v>3539706.9452708908</v>
      </c>
    </row>
    <row r="135" spans="1:3" x14ac:dyDescent="0.3">
      <c r="A135" t="s">
        <v>20</v>
      </c>
      <c r="B135">
        <v>6</v>
      </c>
      <c r="C135">
        <v>3184025.2485091318</v>
      </c>
    </row>
    <row r="136" spans="1:3" x14ac:dyDescent="0.3">
      <c r="A136" t="s">
        <v>20</v>
      </c>
      <c r="B136">
        <v>7</v>
      </c>
      <c r="C136">
        <v>2792470.4238192122</v>
      </c>
    </row>
    <row r="137" spans="1:3" x14ac:dyDescent="0.3">
      <c r="A137" t="s">
        <v>26</v>
      </c>
      <c r="B137">
        <v>1</v>
      </c>
      <c r="C137">
        <v>3180680.2580923224</v>
      </c>
    </row>
    <row r="138" spans="1:3" x14ac:dyDescent="0.3">
      <c r="A138" t="s">
        <v>26</v>
      </c>
      <c r="B138">
        <v>2</v>
      </c>
      <c r="C138">
        <v>2863261.1965300185</v>
      </c>
    </row>
    <row r="139" spans="1:3" x14ac:dyDescent="0.3">
      <c r="A139" t="s">
        <v>26</v>
      </c>
      <c r="B139">
        <v>3</v>
      </c>
      <c r="C139">
        <v>2554257.1565904119</v>
      </c>
    </row>
    <row r="140" spans="1:3" x14ac:dyDescent="0.3">
      <c r="A140" t="s">
        <v>26</v>
      </c>
      <c r="B140">
        <v>4</v>
      </c>
      <c r="C140">
        <v>2374488.3964812336</v>
      </c>
    </row>
    <row r="141" spans="1:3" x14ac:dyDescent="0.3">
      <c r="A141" t="s">
        <v>26</v>
      </c>
      <c r="B141">
        <v>5</v>
      </c>
      <c r="C141">
        <v>2176094.746998196</v>
      </c>
    </row>
    <row r="142" spans="1:3" x14ac:dyDescent="0.3">
      <c r="A142" t="s">
        <v>26</v>
      </c>
      <c r="B142">
        <v>6</v>
      </c>
      <c r="C142">
        <v>1957433.4047193551</v>
      </c>
    </row>
    <row r="143" spans="1:3" x14ac:dyDescent="0.3">
      <c r="A143" t="s">
        <v>26</v>
      </c>
      <c r="B143">
        <v>7</v>
      </c>
      <c r="C143">
        <v>1716718.4499664197</v>
      </c>
    </row>
    <row r="144" spans="1:3" x14ac:dyDescent="0.3">
      <c r="C144">
        <v>587147143.04736221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>
      <selection activeCell="T34" sqref="T34"/>
    </sheetView>
  </sheetViews>
  <sheetFormatPr defaultRowHeight="14.4" x14ac:dyDescent="0.3"/>
  <sheetData>
    <row r="1" spans="1:1" x14ac:dyDescent="0.3">
      <c r="A1" t="s">
        <v>7</v>
      </c>
    </row>
    <row r="2" spans="1:1" x14ac:dyDescent="0.3">
      <c r="A2" t="s">
        <v>8</v>
      </c>
    </row>
    <row r="3" spans="1:1" x14ac:dyDescent="0.3">
      <c r="A3" t="s">
        <v>9</v>
      </c>
    </row>
    <row r="4" spans="1:1" x14ac:dyDescent="0.3">
      <c r="A4" t="s">
        <v>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F047B-ADB4-43C9-950A-18691CA582FC}">
  <dimension ref="A1:B6"/>
  <sheetViews>
    <sheetView workbookViewId="0">
      <selection activeCell="J23" sqref="J23"/>
    </sheetView>
  </sheetViews>
  <sheetFormatPr defaultRowHeight="14.4" x14ac:dyDescent="0.3"/>
  <sheetData>
    <row r="1" spans="1:2" x14ac:dyDescent="0.3">
      <c r="A1" t="s">
        <v>129</v>
      </c>
    </row>
    <row r="2" spans="1:2" x14ac:dyDescent="0.3">
      <c r="A2" t="s">
        <v>130</v>
      </c>
    </row>
    <row r="3" spans="1:2" x14ac:dyDescent="0.3">
      <c r="A3" t="s">
        <v>37</v>
      </c>
      <c r="B3" t="s">
        <v>131</v>
      </c>
    </row>
    <row r="4" spans="1:2" x14ac:dyDescent="0.3">
      <c r="A4" t="s">
        <v>8</v>
      </c>
      <c r="B4">
        <v>30</v>
      </c>
    </row>
    <row r="5" spans="1:2" x14ac:dyDescent="0.3">
      <c r="A5" t="s">
        <v>9</v>
      </c>
      <c r="B5">
        <v>30</v>
      </c>
    </row>
    <row r="6" spans="1:2" x14ac:dyDescent="0.3">
      <c r="A6" t="s">
        <v>10</v>
      </c>
      <c r="B6">
        <v>30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38"/>
  <sheetViews>
    <sheetView workbookViewId="0">
      <selection activeCell="F1" sqref="F1:N1048576"/>
    </sheetView>
  </sheetViews>
  <sheetFormatPr defaultRowHeight="14.4" x14ac:dyDescent="0.3"/>
  <sheetData>
    <row r="1" spans="1:3" x14ac:dyDescent="0.3">
      <c r="A1" t="s">
        <v>68</v>
      </c>
    </row>
    <row r="2" spans="1:3" x14ac:dyDescent="0.3">
      <c r="A2" t="s">
        <v>69</v>
      </c>
    </row>
    <row r="3" spans="1:3" x14ac:dyDescent="0.3">
      <c r="A3" t="s">
        <v>16</v>
      </c>
      <c r="B3" t="s">
        <v>85</v>
      </c>
      <c r="C3" t="s">
        <v>86</v>
      </c>
    </row>
    <row r="4" spans="1:3" x14ac:dyDescent="0.3">
      <c r="A4" t="s">
        <v>23</v>
      </c>
      <c r="B4" t="s">
        <v>8</v>
      </c>
      <c r="C4">
        <v>0</v>
      </c>
    </row>
    <row r="5" spans="1:3" x14ac:dyDescent="0.3">
      <c r="A5" t="s">
        <v>22</v>
      </c>
      <c r="B5" t="s">
        <v>8</v>
      </c>
      <c r="C5">
        <v>0</v>
      </c>
    </row>
    <row r="6" spans="1:3" x14ac:dyDescent="0.3">
      <c r="A6" t="s">
        <v>70</v>
      </c>
      <c r="B6" t="s">
        <v>8</v>
      </c>
      <c r="C6">
        <v>0</v>
      </c>
    </row>
    <row r="7" spans="1:3" x14ac:dyDescent="0.3">
      <c r="A7" t="s">
        <v>34</v>
      </c>
      <c r="B7" t="s">
        <v>8</v>
      </c>
      <c r="C7">
        <v>0</v>
      </c>
    </row>
    <row r="8" spans="1:3" x14ac:dyDescent="0.3">
      <c r="A8" t="s">
        <v>36</v>
      </c>
      <c r="B8" t="s">
        <v>8</v>
      </c>
      <c r="C8">
        <v>0</v>
      </c>
    </row>
    <row r="9" spans="1:3" x14ac:dyDescent="0.3">
      <c r="A9" t="s">
        <v>27</v>
      </c>
      <c r="B9" t="s">
        <v>8</v>
      </c>
      <c r="C9">
        <v>0</v>
      </c>
    </row>
    <row r="10" spans="1:3" x14ac:dyDescent="0.3">
      <c r="A10" t="s">
        <v>71</v>
      </c>
      <c r="B10" t="s">
        <v>8</v>
      </c>
      <c r="C10">
        <v>0</v>
      </c>
    </row>
    <row r="11" spans="1:3" x14ac:dyDescent="0.3">
      <c r="A11" t="s">
        <v>72</v>
      </c>
      <c r="B11" t="s">
        <v>8</v>
      </c>
      <c r="C11">
        <v>0</v>
      </c>
    </row>
    <row r="12" spans="1:3" x14ac:dyDescent="0.3">
      <c r="A12" t="s">
        <v>29</v>
      </c>
      <c r="B12" t="s">
        <v>8</v>
      </c>
      <c r="C12">
        <v>0</v>
      </c>
    </row>
    <row r="13" spans="1:3" x14ac:dyDescent="0.3">
      <c r="A13" t="s">
        <v>19</v>
      </c>
      <c r="B13" t="s">
        <v>8</v>
      </c>
      <c r="C13">
        <v>0</v>
      </c>
    </row>
    <row r="14" spans="1:3" x14ac:dyDescent="0.3">
      <c r="A14" t="s">
        <v>17</v>
      </c>
      <c r="B14" t="s">
        <v>8</v>
      </c>
      <c r="C14">
        <v>0</v>
      </c>
    </row>
    <row r="15" spans="1:3" x14ac:dyDescent="0.3">
      <c r="A15" t="s">
        <v>33</v>
      </c>
      <c r="B15" t="s">
        <v>8</v>
      </c>
      <c r="C15">
        <v>0</v>
      </c>
    </row>
    <row r="16" spans="1:3" x14ac:dyDescent="0.3">
      <c r="A16" t="s">
        <v>32</v>
      </c>
      <c r="B16" t="s">
        <v>8</v>
      </c>
      <c r="C16">
        <v>0</v>
      </c>
    </row>
    <row r="17" spans="1:3" x14ac:dyDescent="0.3">
      <c r="A17" t="s">
        <v>73</v>
      </c>
      <c r="B17" t="s">
        <v>8</v>
      </c>
      <c r="C17">
        <v>0</v>
      </c>
    </row>
    <row r="18" spans="1:3" x14ac:dyDescent="0.3">
      <c r="A18" t="s">
        <v>18</v>
      </c>
      <c r="B18" t="s">
        <v>8</v>
      </c>
      <c r="C18">
        <v>0</v>
      </c>
    </row>
    <row r="19" spans="1:3" x14ac:dyDescent="0.3">
      <c r="A19" t="s">
        <v>74</v>
      </c>
      <c r="B19" t="s">
        <v>8</v>
      </c>
      <c r="C19">
        <v>0</v>
      </c>
    </row>
    <row r="20" spans="1:3" x14ac:dyDescent="0.3">
      <c r="A20" t="s">
        <v>75</v>
      </c>
      <c r="B20" t="s">
        <v>8</v>
      </c>
      <c r="C20">
        <v>0</v>
      </c>
    </row>
    <row r="21" spans="1:3" x14ac:dyDescent="0.3">
      <c r="A21" t="s">
        <v>31</v>
      </c>
      <c r="B21" t="s">
        <v>8</v>
      </c>
      <c r="C21">
        <v>0</v>
      </c>
    </row>
    <row r="22" spans="1:3" x14ac:dyDescent="0.3">
      <c r="A22" t="s">
        <v>76</v>
      </c>
      <c r="B22" t="s">
        <v>8</v>
      </c>
      <c r="C22">
        <v>0</v>
      </c>
    </row>
    <row r="23" spans="1:3" x14ac:dyDescent="0.3">
      <c r="A23" t="s">
        <v>25</v>
      </c>
      <c r="B23" t="s">
        <v>8</v>
      </c>
      <c r="C23">
        <v>0</v>
      </c>
    </row>
    <row r="24" spans="1:3" x14ac:dyDescent="0.3">
      <c r="A24" t="s">
        <v>77</v>
      </c>
      <c r="B24" t="s">
        <v>8</v>
      </c>
      <c r="C24">
        <v>0</v>
      </c>
    </row>
    <row r="25" spans="1:3" x14ac:dyDescent="0.3">
      <c r="A25" t="s">
        <v>78</v>
      </c>
      <c r="B25" t="s">
        <v>8</v>
      </c>
      <c r="C25">
        <v>0</v>
      </c>
    </row>
    <row r="26" spans="1:3" x14ac:dyDescent="0.3">
      <c r="A26" t="s">
        <v>79</v>
      </c>
      <c r="B26" t="s">
        <v>8</v>
      </c>
      <c r="C26">
        <v>0</v>
      </c>
    </row>
    <row r="27" spans="1:3" x14ac:dyDescent="0.3">
      <c r="A27" t="s">
        <v>80</v>
      </c>
      <c r="B27" t="s">
        <v>8</v>
      </c>
      <c r="C27">
        <v>0</v>
      </c>
    </row>
    <row r="28" spans="1:3" x14ac:dyDescent="0.3">
      <c r="A28" t="s">
        <v>81</v>
      </c>
      <c r="B28" t="s">
        <v>8</v>
      </c>
      <c r="C28">
        <v>0</v>
      </c>
    </row>
    <row r="29" spans="1:3" x14ac:dyDescent="0.3">
      <c r="A29" t="s">
        <v>21</v>
      </c>
      <c r="B29" t="s">
        <v>8</v>
      </c>
      <c r="C29">
        <v>0</v>
      </c>
    </row>
    <row r="30" spans="1:3" x14ac:dyDescent="0.3">
      <c r="A30" t="s">
        <v>82</v>
      </c>
      <c r="B30" t="s">
        <v>8</v>
      </c>
      <c r="C30">
        <v>0</v>
      </c>
    </row>
    <row r="31" spans="1:3" x14ac:dyDescent="0.3">
      <c r="A31" t="s">
        <v>30</v>
      </c>
      <c r="B31" t="s">
        <v>8</v>
      </c>
      <c r="C31">
        <v>0</v>
      </c>
    </row>
    <row r="32" spans="1:3" x14ac:dyDescent="0.3">
      <c r="A32" t="s">
        <v>83</v>
      </c>
      <c r="B32" t="s">
        <v>8</v>
      </c>
      <c r="C32">
        <v>0</v>
      </c>
    </row>
    <row r="33" spans="1:3" x14ac:dyDescent="0.3">
      <c r="A33" t="s">
        <v>28</v>
      </c>
      <c r="B33" t="s">
        <v>8</v>
      </c>
      <c r="C33">
        <v>0</v>
      </c>
    </row>
    <row r="34" spans="1:3" x14ac:dyDescent="0.3">
      <c r="A34" t="s">
        <v>35</v>
      </c>
      <c r="B34" t="s">
        <v>8</v>
      </c>
      <c r="C34">
        <v>0</v>
      </c>
    </row>
    <row r="35" spans="1:3" x14ac:dyDescent="0.3">
      <c r="A35" t="s">
        <v>20</v>
      </c>
      <c r="B35" t="s">
        <v>8</v>
      </c>
      <c r="C35">
        <v>0</v>
      </c>
    </row>
    <row r="36" spans="1:3" x14ac:dyDescent="0.3">
      <c r="A36" t="s">
        <v>26</v>
      </c>
      <c r="B36" t="s">
        <v>8</v>
      </c>
      <c r="C36">
        <v>0</v>
      </c>
    </row>
    <row r="37" spans="1:3" x14ac:dyDescent="0.3">
      <c r="A37" t="s">
        <v>84</v>
      </c>
      <c r="B37" t="s">
        <v>8</v>
      </c>
      <c r="C37">
        <v>0</v>
      </c>
    </row>
    <row r="38" spans="1:3" x14ac:dyDescent="0.3">
      <c r="A38" t="s">
        <v>24</v>
      </c>
      <c r="B38" t="s">
        <v>8</v>
      </c>
      <c r="C38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0"/>
  <sheetViews>
    <sheetView workbookViewId="0">
      <selection activeCell="J26" sqref="J26"/>
    </sheetView>
  </sheetViews>
  <sheetFormatPr defaultRowHeight="14.4" x14ac:dyDescent="0.3"/>
  <sheetData>
    <row r="1" spans="1:3" x14ac:dyDescent="0.3">
      <c r="A1" t="s">
        <v>39</v>
      </c>
    </row>
    <row r="2" spans="1:3" x14ac:dyDescent="0.3">
      <c r="A2" t="s">
        <v>40</v>
      </c>
    </row>
    <row r="3" spans="1:3" x14ac:dyDescent="0.3">
      <c r="A3" t="s">
        <v>37</v>
      </c>
      <c r="B3" t="s">
        <v>41</v>
      </c>
      <c r="C3" t="s">
        <v>42</v>
      </c>
    </row>
    <row r="4" spans="1:3" x14ac:dyDescent="0.3">
      <c r="A4" t="s">
        <v>8</v>
      </c>
      <c r="B4">
        <v>1</v>
      </c>
      <c r="C4">
        <v>0.48</v>
      </c>
    </row>
    <row r="5" spans="1:3" x14ac:dyDescent="0.3">
      <c r="A5" t="s">
        <v>8</v>
      </c>
      <c r="B5">
        <v>2</v>
      </c>
      <c r="C5">
        <v>0.60000000000000009</v>
      </c>
    </row>
    <row r="6" spans="1:3" x14ac:dyDescent="0.3">
      <c r="A6" t="s">
        <v>8</v>
      </c>
      <c r="B6">
        <v>3</v>
      </c>
      <c r="C6">
        <v>0.72000000000000008</v>
      </c>
    </row>
    <row r="7" spans="1:3" x14ac:dyDescent="0.3">
      <c r="A7" t="s">
        <v>8</v>
      </c>
      <c r="B7">
        <v>4</v>
      </c>
      <c r="C7">
        <v>0.84000000000000008</v>
      </c>
    </row>
    <row r="8" spans="1:3" x14ac:dyDescent="0.3">
      <c r="A8" t="s">
        <v>8</v>
      </c>
      <c r="B8">
        <v>5</v>
      </c>
      <c r="C8">
        <v>0.96</v>
      </c>
    </row>
    <row r="9" spans="1:3" x14ac:dyDescent="0.3">
      <c r="A9" t="s">
        <v>8</v>
      </c>
      <c r="B9">
        <v>6</v>
      </c>
      <c r="C9">
        <v>1</v>
      </c>
    </row>
    <row r="10" spans="1:3" x14ac:dyDescent="0.3">
      <c r="A10" t="s">
        <v>8</v>
      </c>
      <c r="B10">
        <v>7</v>
      </c>
      <c r="C10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24"/>
  <sheetViews>
    <sheetView workbookViewId="0">
      <selection activeCell="F1" sqref="F1:P1048576"/>
    </sheetView>
  </sheetViews>
  <sheetFormatPr defaultRowHeight="14.4" x14ac:dyDescent="0.3"/>
  <sheetData>
    <row r="1" spans="1:3" x14ac:dyDescent="0.3">
      <c r="A1" t="s">
        <v>87</v>
      </c>
    </row>
    <row r="2" spans="1:3" x14ac:dyDescent="0.3">
      <c r="A2" t="s">
        <v>88</v>
      </c>
    </row>
    <row r="3" spans="1:3" x14ac:dyDescent="0.3">
      <c r="A3" t="s">
        <v>37</v>
      </c>
      <c r="B3" t="s">
        <v>41</v>
      </c>
      <c r="C3" t="s">
        <v>89</v>
      </c>
    </row>
    <row r="4" spans="1:3" x14ac:dyDescent="0.3">
      <c r="A4" t="s">
        <v>8</v>
      </c>
      <c r="B4">
        <v>1</v>
      </c>
      <c r="C4">
        <v>2598741.6</v>
      </c>
    </row>
    <row r="5" spans="1:3" x14ac:dyDescent="0.3">
      <c r="A5" t="s">
        <v>8</v>
      </c>
      <c r="B5">
        <v>2</v>
      </c>
      <c r="C5">
        <v>2598741.6</v>
      </c>
    </row>
    <row r="6" spans="1:3" x14ac:dyDescent="0.3">
      <c r="A6" t="s">
        <v>8</v>
      </c>
      <c r="B6">
        <v>3</v>
      </c>
      <c r="C6">
        <v>2598741.6</v>
      </c>
    </row>
    <row r="7" spans="1:3" x14ac:dyDescent="0.3">
      <c r="A7" t="s">
        <v>8</v>
      </c>
      <c r="B7">
        <v>4</v>
      </c>
      <c r="C7">
        <v>2598741.6</v>
      </c>
    </row>
    <row r="8" spans="1:3" x14ac:dyDescent="0.3">
      <c r="A8" t="s">
        <v>8</v>
      </c>
      <c r="B8">
        <v>5</v>
      </c>
      <c r="C8">
        <v>2598741.6</v>
      </c>
    </row>
    <row r="9" spans="1:3" x14ac:dyDescent="0.3">
      <c r="A9" t="s">
        <v>8</v>
      </c>
      <c r="B9">
        <v>6</v>
      </c>
      <c r="C9">
        <v>2598741.6</v>
      </c>
    </row>
    <row r="10" spans="1:3" x14ac:dyDescent="0.3">
      <c r="A10" t="s">
        <v>8</v>
      </c>
      <c r="B10">
        <v>7</v>
      </c>
      <c r="C10">
        <v>2598741.6</v>
      </c>
    </row>
    <row r="11" spans="1:3" x14ac:dyDescent="0.3">
      <c r="A11" t="s">
        <v>9</v>
      </c>
      <c r="B11">
        <v>1</v>
      </c>
      <c r="C11">
        <v>2598741.6</v>
      </c>
    </row>
    <row r="12" spans="1:3" x14ac:dyDescent="0.3">
      <c r="A12" t="s">
        <v>9</v>
      </c>
      <c r="B12">
        <v>2</v>
      </c>
      <c r="C12">
        <v>2598741.6</v>
      </c>
    </row>
    <row r="13" spans="1:3" x14ac:dyDescent="0.3">
      <c r="A13" t="s">
        <v>9</v>
      </c>
      <c r="B13">
        <v>3</v>
      </c>
      <c r="C13">
        <v>2598741.6</v>
      </c>
    </row>
    <row r="14" spans="1:3" x14ac:dyDescent="0.3">
      <c r="A14" t="s">
        <v>9</v>
      </c>
      <c r="B14">
        <v>4</v>
      </c>
      <c r="C14">
        <v>2598741.6</v>
      </c>
    </row>
    <row r="15" spans="1:3" x14ac:dyDescent="0.3">
      <c r="A15" t="s">
        <v>9</v>
      </c>
      <c r="B15">
        <v>5</v>
      </c>
      <c r="C15">
        <v>2598741.6</v>
      </c>
    </row>
    <row r="16" spans="1:3" x14ac:dyDescent="0.3">
      <c r="A16" t="s">
        <v>9</v>
      </c>
      <c r="B16">
        <v>6</v>
      </c>
      <c r="C16">
        <v>2598741.6</v>
      </c>
    </row>
    <row r="17" spans="1:3" x14ac:dyDescent="0.3">
      <c r="A17" t="s">
        <v>9</v>
      </c>
      <c r="B17">
        <v>7</v>
      </c>
      <c r="C17">
        <v>2598741.6</v>
      </c>
    </row>
    <row r="18" spans="1:3" x14ac:dyDescent="0.3">
      <c r="A18" t="s">
        <v>10</v>
      </c>
      <c r="B18">
        <v>1</v>
      </c>
      <c r="C18">
        <v>4888080</v>
      </c>
    </row>
    <row r="19" spans="1:3" x14ac:dyDescent="0.3">
      <c r="A19" t="s">
        <v>10</v>
      </c>
      <c r="B19">
        <v>2</v>
      </c>
      <c r="C19">
        <v>4888080</v>
      </c>
    </row>
    <row r="20" spans="1:3" x14ac:dyDescent="0.3">
      <c r="A20" t="s">
        <v>10</v>
      </c>
      <c r="B20">
        <v>3</v>
      </c>
      <c r="C20">
        <v>4888080</v>
      </c>
    </row>
    <row r="21" spans="1:3" x14ac:dyDescent="0.3">
      <c r="A21" t="s">
        <v>10</v>
      </c>
      <c r="B21">
        <v>4</v>
      </c>
      <c r="C21">
        <v>4888080</v>
      </c>
    </row>
    <row r="22" spans="1:3" x14ac:dyDescent="0.3">
      <c r="A22" t="s">
        <v>10</v>
      </c>
      <c r="B22">
        <v>5</v>
      </c>
      <c r="C22">
        <v>4888080</v>
      </c>
    </row>
    <row r="23" spans="1:3" x14ac:dyDescent="0.3">
      <c r="A23" t="s">
        <v>10</v>
      </c>
      <c r="B23">
        <v>6</v>
      </c>
      <c r="C23">
        <v>4888080</v>
      </c>
    </row>
    <row r="24" spans="1:3" x14ac:dyDescent="0.3">
      <c r="A24" t="s">
        <v>10</v>
      </c>
      <c r="B24">
        <v>7</v>
      </c>
      <c r="C24">
        <v>4888080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24"/>
  <sheetViews>
    <sheetView workbookViewId="0">
      <selection activeCell="C18" sqref="C18:C19"/>
    </sheetView>
  </sheetViews>
  <sheetFormatPr defaultRowHeight="14.4" x14ac:dyDescent="0.3"/>
  <sheetData>
    <row r="1" spans="1:3" x14ac:dyDescent="0.3">
      <c r="A1" t="s">
        <v>87</v>
      </c>
    </row>
    <row r="2" spans="1:3" x14ac:dyDescent="0.3">
      <c r="A2" t="s">
        <v>90</v>
      </c>
    </row>
    <row r="3" spans="1:3" x14ac:dyDescent="0.3">
      <c r="A3" t="s">
        <v>37</v>
      </c>
      <c r="B3" t="s">
        <v>41</v>
      </c>
      <c r="C3" t="s">
        <v>91</v>
      </c>
    </row>
    <row r="4" spans="1:3" x14ac:dyDescent="0.3">
      <c r="A4" t="s">
        <v>8</v>
      </c>
      <c r="B4">
        <v>1</v>
      </c>
      <c r="C4">
        <v>350830.11599999998</v>
      </c>
    </row>
    <row r="5" spans="1:3" x14ac:dyDescent="0.3">
      <c r="A5" t="s">
        <v>8</v>
      </c>
      <c r="B5">
        <v>2</v>
      </c>
      <c r="C5">
        <v>350830.11599999998</v>
      </c>
    </row>
    <row r="6" spans="1:3" x14ac:dyDescent="0.3">
      <c r="A6" t="s">
        <v>8</v>
      </c>
      <c r="B6">
        <v>3</v>
      </c>
      <c r="C6">
        <v>350830.11599999998</v>
      </c>
    </row>
    <row r="7" spans="1:3" x14ac:dyDescent="0.3">
      <c r="A7" t="s">
        <v>8</v>
      </c>
      <c r="B7">
        <v>4</v>
      </c>
      <c r="C7">
        <v>350830.11599999998</v>
      </c>
    </row>
    <row r="8" spans="1:3" x14ac:dyDescent="0.3">
      <c r="A8" t="s">
        <v>8</v>
      </c>
      <c r="B8">
        <v>5</v>
      </c>
      <c r="C8">
        <v>350830.11599999998</v>
      </c>
    </row>
    <row r="9" spans="1:3" x14ac:dyDescent="0.3">
      <c r="A9" t="s">
        <v>8</v>
      </c>
      <c r="B9">
        <v>6</v>
      </c>
      <c r="C9">
        <v>350830.11599999998</v>
      </c>
    </row>
    <row r="10" spans="1:3" x14ac:dyDescent="0.3">
      <c r="A10" t="s">
        <v>8</v>
      </c>
      <c r="B10">
        <v>7</v>
      </c>
      <c r="C10">
        <v>350830.11599999998</v>
      </c>
    </row>
    <row r="11" spans="1:3" x14ac:dyDescent="0.3">
      <c r="A11" t="s">
        <v>9</v>
      </c>
      <c r="B11">
        <v>1</v>
      </c>
      <c r="C11">
        <v>350830.11599999998</v>
      </c>
    </row>
    <row r="12" spans="1:3" x14ac:dyDescent="0.3">
      <c r="A12" t="s">
        <v>9</v>
      </c>
      <c r="B12">
        <v>2</v>
      </c>
      <c r="C12">
        <v>350830.11599999998</v>
      </c>
    </row>
    <row r="13" spans="1:3" x14ac:dyDescent="0.3">
      <c r="A13" t="s">
        <v>9</v>
      </c>
      <c r="B13">
        <v>3</v>
      </c>
      <c r="C13">
        <v>350830.11599999998</v>
      </c>
    </row>
    <row r="14" spans="1:3" x14ac:dyDescent="0.3">
      <c r="A14" t="s">
        <v>9</v>
      </c>
      <c r="B14">
        <v>4</v>
      </c>
      <c r="C14">
        <v>350830.11599999998</v>
      </c>
    </row>
    <row r="15" spans="1:3" x14ac:dyDescent="0.3">
      <c r="A15" t="s">
        <v>9</v>
      </c>
      <c r="B15">
        <v>5</v>
      </c>
      <c r="C15">
        <v>350830.11599999998</v>
      </c>
    </row>
    <row r="16" spans="1:3" x14ac:dyDescent="0.3">
      <c r="A16" t="s">
        <v>9</v>
      </c>
      <c r="B16">
        <v>6</v>
      </c>
      <c r="C16">
        <v>350830.11599999998</v>
      </c>
    </row>
    <row r="17" spans="1:3" x14ac:dyDescent="0.3">
      <c r="A17" t="s">
        <v>9</v>
      </c>
      <c r="B17">
        <v>7</v>
      </c>
      <c r="C17">
        <v>350830.11599999998</v>
      </c>
    </row>
    <row r="18" spans="1:3" x14ac:dyDescent="0.3">
      <c r="A18" t="s">
        <v>10</v>
      </c>
      <c r="B18">
        <v>1</v>
      </c>
      <c r="C18">
        <v>659890.80000000005</v>
      </c>
    </row>
    <row r="19" spans="1:3" x14ac:dyDescent="0.3">
      <c r="A19" t="s">
        <v>10</v>
      </c>
      <c r="B19">
        <v>2</v>
      </c>
      <c r="C19">
        <v>659890.80000000005</v>
      </c>
    </row>
    <row r="20" spans="1:3" x14ac:dyDescent="0.3">
      <c r="A20" t="s">
        <v>10</v>
      </c>
      <c r="B20">
        <v>3</v>
      </c>
      <c r="C20">
        <v>659890.80000000005</v>
      </c>
    </row>
    <row r="21" spans="1:3" x14ac:dyDescent="0.3">
      <c r="A21" t="s">
        <v>10</v>
      </c>
      <c r="B21">
        <v>4</v>
      </c>
      <c r="C21">
        <v>659890.80000000005</v>
      </c>
    </row>
    <row r="22" spans="1:3" x14ac:dyDescent="0.3">
      <c r="A22" t="s">
        <v>10</v>
      </c>
      <c r="B22">
        <v>5</v>
      </c>
      <c r="C22">
        <v>659890.80000000005</v>
      </c>
    </row>
    <row r="23" spans="1:3" x14ac:dyDescent="0.3">
      <c r="A23" t="s">
        <v>10</v>
      </c>
      <c r="B23">
        <v>6</v>
      </c>
      <c r="C23">
        <v>659890.80000000005</v>
      </c>
    </row>
    <row r="24" spans="1:3" x14ac:dyDescent="0.3">
      <c r="A24" t="s">
        <v>10</v>
      </c>
      <c r="B24">
        <v>7</v>
      </c>
      <c r="C24">
        <v>659890.80000000005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4"/>
  <sheetViews>
    <sheetView workbookViewId="0">
      <selection activeCell="D11" sqref="D11"/>
    </sheetView>
  </sheetViews>
  <sheetFormatPr defaultRowHeight="14.4" x14ac:dyDescent="0.3"/>
  <cols>
    <col min="1" max="1" width="19.5546875" customWidth="1"/>
  </cols>
  <sheetData>
    <row r="1" spans="1:3" x14ac:dyDescent="0.3">
      <c r="A1" t="s">
        <v>92</v>
      </c>
    </row>
    <row r="2" spans="1:3" x14ac:dyDescent="0.3">
      <c r="A2" t="s">
        <v>93</v>
      </c>
    </row>
    <row r="3" spans="1:3" x14ac:dyDescent="0.3">
      <c r="A3" t="s">
        <v>85</v>
      </c>
      <c r="B3" t="s">
        <v>41</v>
      </c>
      <c r="C3" t="s">
        <v>57</v>
      </c>
    </row>
    <row r="4" spans="1:3" x14ac:dyDescent="0.3">
      <c r="A4" t="s">
        <v>8</v>
      </c>
      <c r="B4">
        <v>1</v>
      </c>
      <c r="C4">
        <v>103.8</v>
      </c>
    </row>
    <row r="5" spans="1:3" x14ac:dyDescent="0.3">
      <c r="A5" t="s">
        <v>8</v>
      </c>
      <c r="B5">
        <v>2</v>
      </c>
      <c r="C5">
        <v>102</v>
      </c>
    </row>
    <row r="6" spans="1:3" x14ac:dyDescent="0.3">
      <c r="A6" t="s">
        <v>8</v>
      </c>
      <c r="B6">
        <v>3</v>
      </c>
      <c r="C6">
        <v>102</v>
      </c>
    </row>
    <row r="7" spans="1:3" x14ac:dyDescent="0.3">
      <c r="A7" t="s">
        <v>8</v>
      </c>
      <c r="B7">
        <v>4</v>
      </c>
      <c r="C7">
        <v>101.4</v>
      </c>
    </row>
    <row r="8" spans="1:3" x14ac:dyDescent="0.3">
      <c r="A8" t="s">
        <v>8</v>
      </c>
      <c r="B8">
        <v>5</v>
      </c>
      <c r="C8">
        <v>99.600000000000009</v>
      </c>
    </row>
    <row r="9" spans="1:3" x14ac:dyDescent="0.3">
      <c r="A9" t="s">
        <v>8</v>
      </c>
      <c r="B9">
        <v>6</v>
      </c>
      <c r="C9">
        <v>99</v>
      </c>
    </row>
    <row r="10" spans="1:3" x14ac:dyDescent="0.3">
      <c r="A10" t="s">
        <v>8</v>
      </c>
      <c r="B10">
        <v>7</v>
      </c>
      <c r="C10">
        <v>99</v>
      </c>
    </row>
    <row r="11" spans="1:3" x14ac:dyDescent="0.3">
      <c r="A11" t="s">
        <v>9</v>
      </c>
      <c r="B11">
        <v>1</v>
      </c>
      <c r="C11">
        <v>43.25</v>
      </c>
    </row>
    <row r="12" spans="1:3" x14ac:dyDescent="0.3">
      <c r="A12" t="s">
        <v>9</v>
      </c>
      <c r="B12">
        <v>2</v>
      </c>
      <c r="C12">
        <v>42.500000000000007</v>
      </c>
    </row>
    <row r="13" spans="1:3" x14ac:dyDescent="0.3">
      <c r="A13" t="s">
        <v>9</v>
      </c>
      <c r="B13">
        <v>3</v>
      </c>
      <c r="C13">
        <v>42.500000000000007</v>
      </c>
    </row>
    <row r="14" spans="1:3" x14ac:dyDescent="0.3">
      <c r="A14" t="s">
        <v>9</v>
      </c>
      <c r="B14">
        <v>4</v>
      </c>
      <c r="C14">
        <v>42.250000000000007</v>
      </c>
    </row>
    <row r="15" spans="1:3" x14ac:dyDescent="0.3">
      <c r="A15" t="s">
        <v>9</v>
      </c>
      <c r="B15">
        <v>5</v>
      </c>
      <c r="C15">
        <v>41.5</v>
      </c>
    </row>
    <row r="16" spans="1:3" x14ac:dyDescent="0.3">
      <c r="A16" t="s">
        <v>9</v>
      </c>
      <c r="B16">
        <v>6</v>
      </c>
      <c r="C16">
        <v>41.25</v>
      </c>
    </row>
    <row r="17" spans="1:3" x14ac:dyDescent="0.3">
      <c r="A17" t="s">
        <v>9</v>
      </c>
      <c r="B17">
        <v>7</v>
      </c>
      <c r="C17">
        <v>41.25</v>
      </c>
    </row>
    <row r="18" spans="1:3" x14ac:dyDescent="0.3">
      <c r="A18" t="s">
        <v>10</v>
      </c>
      <c r="B18">
        <v>1</v>
      </c>
      <c r="C18">
        <v>103.8</v>
      </c>
    </row>
    <row r="19" spans="1:3" x14ac:dyDescent="0.3">
      <c r="A19" t="s">
        <v>10</v>
      </c>
      <c r="B19">
        <v>2</v>
      </c>
      <c r="C19">
        <v>102</v>
      </c>
    </row>
    <row r="20" spans="1:3" x14ac:dyDescent="0.3">
      <c r="A20" t="s">
        <v>10</v>
      </c>
      <c r="B20">
        <v>3</v>
      </c>
      <c r="C20">
        <v>102</v>
      </c>
    </row>
    <row r="21" spans="1:3" x14ac:dyDescent="0.3">
      <c r="A21" t="s">
        <v>10</v>
      </c>
      <c r="B21">
        <v>4</v>
      </c>
      <c r="C21">
        <v>101.4</v>
      </c>
    </row>
    <row r="22" spans="1:3" x14ac:dyDescent="0.3">
      <c r="A22" t="s">
        <v>10</v>
      </c>
      <c r="B22">
        <v>5</v>
      </c>
      <c r="C22">
        <v>99.600000000000009</v>
      </c>
    </row>
    <row r="23" spans="1:3" x14ac:dyDescent="0.3">
      <c r="A23" t="s">
        <v>10</v>
      </c>
      <c r="B23">
        <v>6</v>
      </c>
      <c r="C23">
        <v>99</v>
      </c>
    </row>
    <row r="24" spans="1:3" x14ac:dyDescent="0.3">
      <c r="A24" t="s">
        <v>10</v>
      </c>
      <c r="B24">
        <v>7</v>
      </c>
      <c r="C24">
        <v>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6"/>
  <sheetViews>
    <sheetView workbookViewId="0">
      <selection activeCell="B4" sqref="B4"/>
    </sheetView>
  </sheetViews>
  <sheetFormatPr defaultRowHeight="14.4" x14ac:dyDescent="0.3"/>
  <sheetData>
    <row r="1" spans="1:2" x14ac:dyDescent="0.3">
      <c r="A1" t="s">
        <v>94</v>
      </c>
    </row>
    <row r="2" spans="1:2" x14ac:dyDescent="0.3">
      <c r="A2" t="s">
        <v>95</v>
      </c>
    </row>
    <row r="3" spans="1:2" x14ac:dyDescent="0.3">
      <c r="A3" t="s">
        <v>85</v>
      </c>
      <c r="B3" t="s">
        <v>96</v>
      </c>
    </row>
    <row r="4" spans="1:2" x14ac:dyDescent="0.3">
      <c r="A4" t="s">
        <v>8</v>
      </c>
      <c r="B4">
        <v>0</v>
      </c>
    </row>
    <row r="5" spans="1:2" x14ac:dyDescent="0.3">
      <c r="A5" t="s">
        <v>9</v>
      </c>
      <c r="B5">
        <v>0</v>
      </c>
    </row>
    <row r="6" spans="1:2" x14ac:dyDescent="0.3">
      <c r="A6" t="s">
        <v>10</v>
      </c>
      <c r="B6">
        <v>0.95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24"/>
  <sheetViews>
    <sheetView workbookViewId="0">
      <selection activeCell="C22" sqref="C22"/>
    </sheetView>
  </sheetViews>
  <sheetFormatPr defaultRowHeight="14.4" x14ac:dyDescent="0.3"/>
  <cols>
    <col min="1" max="1" width="20.6640625" customWidth="1"/>
  </cols>
  <sheetData>
    <row r="1" spans="1:3" x14ac:dyDescent="0.3">
      <c r="A1" t="s">
        <v>92</v>
      </c>
    </row>
    <row r="2" spans="1:3" x14ac:dyDescent="0.3">
      <c r="A2" t="s">
        <v>97</v>
      </c>
    </row>
    <row r="3" spans="1:3" x14ac:dyDescent="0.3">
      <c r="A3" t="s">
        <v>85</v>
      </c>
      <c r="B3" t="s">
        <v>41</v>
      </c>
      <c r="C3" t="s">
        <v>59</v>
      </c>
    </row>
    <row r="4" spans="1:3" x14ac:dyDescent="0.3">
      <c r="A4" t="s">
        <v>8</v>
      </c>
      <c r="B4">
        <v>1</v>
      </c>
      <c r="C4">
        <v>9.0200000000000002E-2</v>
      </c>
    </row>
    <row r="5" spans="1:3" x14ac:dyDescent="0.3">
      <c r="A5" t="s">
        <v>8</v>
      </c>
      <c r="B5">
        <v>2</v>
      </c>
      <c r="C5">
        <v>8.8999999999999996E-2</v>
      </c>
    </row>
    <row r="6" spans="1:3" x14ac:dyDescent="0.3">
      <c r="A6" t="s">
        <v>8</v>
      </c>
      <c r="B6">
        <v>3</v>
      </c>
      <c r="C6">
        <v>8.8999999999999996E-2</v>
      </c>
    </row>
    <row r="7" spans="1:3" x14ac:dyDescent="0.3">
      <c r="A7" t="s">
        <v>8</v>
      </c>
      <c r="B7">
        <v>4</v>
      </c>
      <c r="C7">
        <v>8.8399999999999992E-2</v>
      </c>
    </row>
    <row r="8" spans="1:3" x14ac:dyDescent="0.3">
      <c r="A8" t="s">
        <v>8</v>
      </c>
      <c r="B8">
        <v>5</v>
      </c>
      <c r="C8">
        <v>8.6599999999999996E-2</v>
      </c>
    </row>
    <row r="9" spans="1:3" x14ac:dyDescent="0.3">
      <c r="A9" t="s">
        <v>8</v>
      </c>
      <c r="B9">
        <v>6</v>
      </c>
      <c r="C9">
        <v>8.5999999999999993E-2</v>
      </c>
    </row>
    <row r="10" spans="1:3" x14ac:dyDescent="0.3">
      <c r="A10" t="s">
        <v>8</v>
      </c>
      <c r="B10">
        <v>7</v>
      </c>
      <c r="C10">
        <v>8.5999999999999993E-2</v>
      </c>
    </row>
    <row r="11" spans="1:3" x14ac:dyDescent="0.3">
      <c r="A11" t="s">
        <v>9</v>
      </c>
      <c r="B11">
        <v>1</v>
      </c>
      <c r="C11">
        <v>9.0200000000000002E-2</v>
      </c>
    </row>
    <row r="12" spans="1:3" x14ac:dyDescent="0.3">
      <c r="A12" t="s">
        <v>9</v>
      </c>
      <c r="B12">
        <v>2</v>
      </c>
      <c r="C12">
        <v>8.8999999999999996E-2</v>
      </c>
    </row>
    <row r="13" spans="1:3" x14ac:dyDescent="0.3">
      <c r="A13" t="s">
        <v>9</v>
      </c>
      <c r="B13">
        <v>3</v>
      </c>
      <c r="C13">
        <v>8.8999999999999996E-2</v>
      </c>
    </row>
    <row r="14" spans="1:3" x14ac:dyDescent="0.3">
      <c r="A14" t="s">
        <v>9</v>
      </c>
      <c r="B14">
        <v>4</v>
      </c>
      <c r="C14">
        <v>8.8399999999999992E-2</v>
      </c>
    </row>
    <row r="15" spans="1:3" x14ac:dyDescent="0.3">
      <c r="A15" t="s">
        <v>9</v>
      </c>
      <c r="B15">
        <v>5</v>
      </c>
      <c r="C15">
        <v>8.6599999999999996E-2</v>
      </c>
    </row>
    <row r="16" spans="1:3" x14ac:dyDescent="0.3">
      <c r="A16" t="s">
        <v>9</v>
      </c>
      <c r="B16">
        <v>6</v>
      </c>
      <c r="C16">
        <v>8.5999999999999993E-2</v>
      </c>
    </row>
    <row r="17" spans="1:3" x14ac:dyDescent="0.3">
      <c r="A17" t="s">
        <v>9</v>
      </c>
      <c r="B17">
        <v>7</v>
      </c>
      <c r="C17">
        <v>8.5999999999999993E-2</v>
      </c>
    </row>
    <row r="18" spans="1:3" x14ac:dyDescent="0.3">
      <c r="A18" t="s">
        <v>10</v>
      </c>
      <c r="B18">
        <v>1</v>
      </c>
      <c r="C18">
        <v>0.10045</v>
      </c>
    </row>
    <row r="19" spans="1:3" x14ac:dyDescent="0.3">
      <c r="A19" t="s">
        <v>10</v>
      </c>
      <c r="B19">
        <v>2</v>
      </c>
      <c r="C19">
        <v>9.9113636363636348E-2</v>
      </c>
    </row>
    <row r="20" spans="1:3" x14ac:dyDescent="0.3">
      <c r="A20" t="s">
        <v>10</v>
      </c>
      <c r="B20">
        <v>3</v>
      </c>
      <c r="C20">
        <v>9.9113636363636348E-2</v>
      </c>
    </row>
    <row r="21" spans="1:3" x14ac:dyDescent="0.3">
      <c r="A21" t="s">
        <v>10</v>
      </c>
      <c r="B21">
        <v>4</v>
      </c>
      <c r="C21">
        <v>9.844545454545453E-2</v>
      </c>
    </row>
    <row r="22" spans="1:3" x14ac:dyDescent="0.3">
      <c r="A22" t="s">
        <v>10</v>
      </c>
      <c r="B22">
        <v>5</v>
      </c>
      <c r="C22">
        <v>9.6440909090909077E-2</v>
      </c>
    </row>
    <row r="23" spans="1:3" x14ac:dyDescent="0.3">
      <c r="A23" t="s">
        <v>10</v>
      </c>
      <c r="B23">
        <v>6</v>
      </c>
      <c r="C23">
        <v>9.5772727272727259E-2</v>
      </c>
    </row>
    <row r="24" spans="1:3" x14ac:dyDescent="0.3">
      <c r="A24" t="s">
        <v>10</v>
      </c>
      <c r="B24">
        <v>7</v>
      </c>
      <c r="C24">
        <v>9.5772727272727259E-2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248"/>
  <sheetViews>
    <sheetView workbookViewId="0">
      <selection activeCell="C8" sqref="C8"/>
    </sheetView>
  </sheetViews>
  <sheetFormatPr defaultRowHeight="14.4" x14ac:dyDescent="0.3"/>
  <cols>
    <col min="1" max="1" width="8.88671875" customWidth="1"/>
    <col min="2" max="2" width="10.5546875" bestFit="1" customWidth="1"/>
  </cols>
  <sheetData>
    <row r="1" spans="1:3" x14ac:dyDescent="0.3">
      <c r="A1" t="s">
        <v>98</v>
      </c>
    </row>
    <row r="2" spans="1:3" x14ac:dyDescent="0.3">
      <c r="A2" t="s">
        <v>99</v>
      </c>
    </row>
    <row r="3" spans="1:3" x14ac:dyDescent="0.3">
      <c r="A3" t="s">
        <v>16</v>
      </c>
      <c r="B3" t="s">
        <v>100</v>
      </c>
      <c r="C3" t="s">
        <v>101</v>
      </c>
    </row>
    <row r="4" spans="1:3" x14ac:dyDescent="0.3">
      <c r="A4" t="s">
        <v>23</v>
      </c>
      <c r="B4" s="4">
        <v>0</v>
      </c>
      <c r="C4">
        <v>4600</v>
      </c>
    </row>
    <row r="5" spans="1:3" x14ac:dyDescent="0.3">
      <c r="A5" t="s">
        <v>22</v>
      </c>
      <c r="B5" s="4">
        <v>0</v>
      </c>
      <c r="C5">
        <v>6255</v>
      </c>
    </row>
    <row r="6" spans="1:3" x14ac:dyDescent="0.3">
      <c r="A6" t="s">
        <v>70</v>
      </c>
      <c r="B6" s="4">
        <v>0</v>
      </c>
      <c r="C6">
        <v>841</v>
      </c>
    </row>
    <row r="7" spans="1:3" x14ac:dyDescent="0.3">
      <c r="A7" t="s">
        <v>34</v>
      </c>
      <c r="B7" s="4">
        <v>0</v>
      </c>
      <c r="C7">
        <v>1994</v>
      </c>
    </row>
    <row r="8" spans="1:3" x14ac:dyDescent="0.3">
      <c r="A8" t="s">
        <v>36</v>
      </c>
      <c r="B8" s="4">
        <v>0</v>
      </c>
      <c r="C8">
        <v>2318</v>
      </c>
    </row>
    <row r="9" spans="1:3" x14ac:dyDescent="0.3">
      <c r="A9" t="s">
        <v>27</v>
      </c>
      <c r="B9" s="4">
        <v>0</v>
      </c>
      <c r="C9">
        <v>3937</v>
      </c>
    </row>
    <row r="10" spans="1:3" x14ac:dyDescent="0.3">
      <c r="A10" t="s">
        <v>71</v>
      </c>
      <c r="B10" s="4">
        <v>0</v>
      </c>
      <c r="C10">
        <v>1900</v>
      </c>
    </row>
    <row r="11" spans="1:3" x14ac:dyDescent="0.3">
      <c r="A11" t="s">
        <v>72</v>
      </c>
      <c r="B11" s="4">
        <v>0</v>
      </c>
      <c r="C11">
        <v>395</v>
      </c>
    </row>
    <row r="12" spans="1:3" x14ac:dyDescent="0.3">
      <c r="A12" t="s">
        <v>29</v>
      </c>
      <c r="B12" s="4">
        <v>0</v>
      </c>
      <c r="C12">
        <v>1300</v>
      </c>
    </row>
    <row r="13" spans="1:3" x14ac:dyDescent="0.3">
      <c r="A13" t="s">
        <v>19</v>
      </c>
      <c r="B13" s="4">
        <v>0</v>
      </c>
      <c r="C13">
        <v>15900</v>
      </c>
    </row>
    <row r="14" spans="1:3" x14ac:dyDescent="0.3">
      <c r="A14" t="s">
        <v>17</v>
      </c>
      <c r="B14" s="4">
        <v>0</v>
      </c>
      <c r="C14">
        <v>32737</v>
      </c>
    </row>
    <row r="15" spans="1:3" x14ac:dyDescent="0.3">
      <c r="A15" t="s">
        <v>33</v>
      </c>
      <c r="B15" s="4">
        <v>0</v>
      </c>
      <c r="C15">
        <v>6680</v>
      </c>
    </row>
    <row r="16" spans="1:3" x14ac:dyDescent="0.3">
      <c r="A16" t="s">
        <v>32</v>
      </c>
      <c r="B16" s="4">
        <v>0</v>
      </c>
      <c r="C16">
        <v>2000</v>
      </c>
    </row>
    <row r="17" spans="1:3" x14ac:dyDescent="0.3">
      <c r="A17" t="s">
        <v>73</v>
      </c>
      <c r="B17" s="4">
        <v>0</v>
      </c>
      <c r="C17">
        <v>2500</v>
      </c>
    </row>
    <row r="18" spans="1:3" x14ac:dyDescent="0.3">
      <c r="A18" t="s">
        <v>18</v>
      </c>
      <c r="B18" s="4">
        <v>0</v>
      </c>
      <c r="C18">
        <v>19300</v>
      </c>
    </row>
    <row r="19" spans="1:3" x14ac:dyDescent="0.3">
      <c r="A19" t="s">
        <v>74</v>
      </c>
      <c r="B19" s="4">
        <v>0</v>
      </c>
      <c r="C19">
        <v>1200</v>
      </c>
    </row>
    <row r="20" spans="1:3" x14ac:dyDescent="0.3">
      <c r="A20" t="s">
        <v>75</v>
      </c>
      <c r="B20" s="4">
        <v>0</v>
      </c>
      <c r="C20">
        <v>1010</v>
      </c>
    </row>
    <row r="21" spans="1:3" x14ac:dyDescent="0.3">
      <c r="A21" t="s">
        <v>31</v>
      </c>
      <c r="B21" s="4">
        <v>0</v>
      </c>
      <c r="C21">
        <v>1070</v>
      </c>
    </row>
    <row r="22" spans="1:3" x14ac:dyDescent="0.3">
      <c r="A22" t="s">
        <v>76</v>
      </c>
      <c r="B22" s="4">
        <v>0</v>
      </c>
      <c r="C22">
        <v>855</v>
      </c>
    </row>
    <row r="23" spans="1:3" x14ac:dyDescent="0.3">
      <c r="A23" t="s">
        <v>25</v>
      </c>
      <c r="B23" s="4">
        <v>0</v>
      </c>
      <c r="C23">
        <v>2260</v>
      </c>
    </row>
    <row r="24" spans="1:3" x14ac:dyDescent="0.3">
      <c r="A24" t="s">
        <v>77</v>
      </c>
      <c r="B24" s="4">
        <v>0</v>
      </c>
      <c r="C24">
        <v>370</v>
      </c>
    </row>
    <row r="25" spans="1:3" x14ac:dyDescent="0.3">
      <c r="A25" t="s">
        <v>78</v>
      </c>
      <c r="B25" s="4">
        <v>0</v>
      </c>
      <c r="C25">
        <v>370</v>
      </c>
    </row>
    <row r="26" spans="1:3" x14ac:dyDescent="0.3">
      <c r="A26" t="s">
        <v>79</v>
      </c>
      <c r="B26" s="4">
        <v>0</v>
      </c>
      <c r="C26">
        <v>370</v>
      </c>
    </row>
    <row r="27" spans="1:3" x14ac:dyDescent="0.3">
      <c r="A27" t="s">
        <v>80</v>
      </c>
      <c r="B27" s="4">
        <v>0</v>
      </c>
      <c r="C27">
        <v>370</v>
      </c>
    </row>
    <row r="28" spans="1:3" x14ac:dyDescent="0.3">
      <c r="A28" t="s">
        <v>81</v>
      </c>
      <c r="B28" s="4">
        <v>0</v>
      </c>
      <c r="C28">
        <v>370</v>
      </c>
    </row>
    <row r="29" spans="1:3" x14ac:dyDescent="0.3">
      <c r="A29" t="s">
        <v>21</v>
      </c>
      <c r="B29" s="4">
        <v>0</v>
      </c>
      <c r="C29">
        <v>15722</v>
      </c>
    </row>
    <row r="30" spans="1:3" x14ac:dyDescent="0.3">
      <c r="A30" t="s">
        <v>82</v>
      </c>
      <c r="B30" s="4">
        <v>0</v>
      </c>
      <c r="C30">
        <v>4200</v>
      </c>
    </row>
    <row r="31" spans="1:3" x14ac:dyDescent="0.3">
      <c r="A31" t="s">
        <v>30</v>
      </c>
      <c r="B31" s="4">
        <v>0</v>
      </c>
      <c r="C31">
        <v>8038</v>
      </c>
    </row>
    <row r="32" spans="1:3" x14ac:dyDescent="0.3">
      <c r="A32" t="s">
        <v>83</v>
      </c>
      <c r="B32" s="4">
        <v>0</v>
      </c>
      <c r="C32">
        <v>1801</v>
      </c>
    </row>
    <row r="33" spans="1:3" x14ac:dyDescent="0.3">
      <c r="A33" t="s">
        <v>28</v>
      </c>
      <c r="B33" s="4">
        <v>0</v>
      </c>
      <c r="C33">
        <v>3518</v>
      </c>
    </row>
    <row r="34" spans="1:3" x14ac:dyDescent="0.3">
      <c r="A34" t="s">
        <v>35</v>
      </c>
      <c r="B34" s="4">
        <v>0</v>
      </c>
      <c r="C34">
        <v>700</v>
      </c>
    </row>
    <row r="35" spans="1:3" x14ac:dyDescent="0.3">
      <c r="A35" t="s">
        <v>20</v>
      </c>
      <c r="B35" s="4">
        <v>0</v>
      </c>
      <c r="C35">
        <v>15000</v>
      </c>
    </row>
    <row r="36" spans="1:3" x14ac:dyDescent="0.3">
      <c r="A36" t="s">
        <v>26</v>
      </c>
      <c r="B36" s="4">
        <v>0</v>
      </c>
      <c r="C36">
        <v>2800</v>
      </c>
    </row>
    <row r="37" spans="1:3" x14ac:dyDescent="0.3">
      <c r="A37" t="s">
        <v>84</v>
      </c>
      <c r="B37" s="4">
        <v>0</v>
      </c>
      <c r="C37">
        <v>4580</v>
      </c>
    </row>
    <row r="38" spans="1:3" x14ac:dyDescent="0.3">
      <c r="A38" t="s">
        <v>24</v>
      </c>
      <c r="B38" s="4">
        <v>0</v>
      </c>
      <c r="C38">
        <v>9400</v>
      </c>
    </row>
    <row r="39" spans="1:3" x14ac:dyDescent="0.3">
      <c r="B39" s="4"/>
    </row>
    <row r="40" spans="1:3" x14ac:dyDescent="0.3">
      <c r="B40" s="4"/>
    </row>
    <row r="41" spans="1:3" x14ac:dyDescent="0.3">
      <c r="B41" s="4"/>
    </row>
    <row r="42" spans="1:3" x14ac:dyDescent="0.3">
      <c r="B42" s="4"/>
    </row>
    <row r="43" spans="1:3" x14ac:dyDescent="0.3">
      <c r="B43" s="4"/>
    </row>
    <row r="44" spans="1:3" x14ac:dyDescent="0.3">
      <c r="B44" s="4"/>
    </row>
    <row r="45" spans="1:3" x14ac:dyDescent="0.3">
      <c r="B45" s="4"/>
    </row>
    <row r="46" spans="1:3" x14ac:dyDescent="0.3">
      <c r="B46" s="4"/>
    </row>
    <row r="47" spans="1:3" x14ac:dyDescent="0.3">
      <c r="B47" s="4"/>
    </row>
    <row r="48" spans="1:3" x14ac:dyDescent="0.3">
      <c r="B48" s="4"/>
    </row>
    <row r="49" spans="2:2" x14ac:dyDescent="0.3">
      <c r="B49" s="4"/>
    </row>
    <row r="50" spans="2:2" x14ac:dyDescent="0.3">
      <c r="B50" s="4"/>
    </row>
    <row r="51" spans="2:2" x14ac:dyDescent="0.3">
      <c r="B51" s="4"/>
    </row>
    <row r="52" spans="2:2" x14ac:dyDescent="0.3">
      <c r="B52" s="4"/>
    </row>
    <row r="53" spans="2:2" x14ac:dyDescent="0.3">
      <c r="B53" s="4"/>
    </row>
    <row r="54" spans="2:2" x14ac:dyDescent="0.3">
      <c r="B54" s="4"/>
    </row>
    <row r="55" spans="2:2" x14ac:dyDescent="0.3">
      <c r="B55" s="4"/>
    </row>
    <row r="56" spans="2:2" x14ac:dyDescent="0.3">
      <c r="B56" s="4"/>
    </row>
    <row r="57" spans="2:2" x14ac:dyDescent="0.3">
      <c r="B57" s="4"/>
    </row>
    <row r="58" spans="2:2" x14ac:dyDescent="0.3">
      <c r="B58" s="4"/>
    </row>
    <row r="59" spans="2:2" x14ac:dyDescent="0.3">
      <c r="B59" s="4"/>
    </row>
    <row r="60" spans="2:2" x14ac:dyDescent="0.3">
      <c r="B60" s="4"/>
    </row>
    <row r="61" spans="2:2" x14ac:dyDescent="0.3">
      <c r="B61" s="4"/>
    </row>
    <row r="62" spans="2:2" x14ac:dyDescent="0.3">
      <c r="B62" s="4"/>
    </row>
    <row r="63" spans="2:2" x14ac:dyDescent="0.3">
      <c r="B63" s="4"/>
    </row>
    <row r="64" spans="2:2" x14ac:dyDescent="0.3">
      <c r="B64" s="4"/>
    </row>
    <row r="65" spans="2:2" x14ac:dyDescent="0.3">
      <c r="B65" s="4"/>
    </row>
    <row r="66" spans="2:2" x14ac:dyDescent="0.3">
      <c r="B66" s="4"/>
    </row>
    <row r="67" spans="2:2" x14ac:dyDescent="0.3">
      <c r="B67" s="4"/>
    </row>
    <row r="68" spans="2:2" x14ac:dyDescent="0.3">
      <c r="B68" s="4"/>
    </row>
    <row r="69" spans="2:2" x14ac:dyDescent="0.3">
      <c r="B69" s="4"/>
    </row>
    <row r="70" spans="2:2" x14ac:dyDescent="0.3">
      <c r="B70" s="4"/>
    </row>
    <row r="71" spans="2:2" x14ac:dyDescent="0.3">
      <c r="B71" s="4"/>
    </row>
    <row r="72" spans="2:2" x14ac:dyDescent="0.3">
      <c r="B72" s="4"/>
    </row>
    <row r="73" spans="2:2" x14ac:dyDescent="0.3">
      <c r="B73" s="4"/>
    </row>
    <row r="74" spans="2:2" x14ac:dyDescent="0.3">
      <c r="B74" s="4"/>
    </row>
    <row r="75" spans="2:2" x14ac:dyDescent="0.3">
      <c r="B75" s="4"/>
    </row>
    <row r="76" spans="2:2" x14ac:dyDescent="0.3">
      <c r="B76" s="4"/>
    </row>
    <row r="77" spans="2:2" x14ac:dyDescent="0.3">
      <c r="B77" s="4"/>
    </row>
    <row r="78" spans="2:2" x14ac:dyDescent="0.3">
      <c r="B78" s="4"/>
    </row>
    <row r="79" spans="2:2" x14ac:dyDescent="0.3">
      <c r="B79" s="4"/>
    </row>
    <row r="80" spans="2:2" x14ac:dyDescent="0.3">
      <c r="B80" s="4"/>
    </row>
    <row r="81" spans="2:2" x14ac:dyDescent="0.3">
      <c r="B81" s="4"/>
    </row>
    <row r="82" spans="2:2" x14ac:dyDescent="0.3">
      <c r="B82" s="4"/>
    </row>
    <row r="83" spans="2:2" x14ac:dyDescent="0.3">
      <c r="B83" s="4"/>
    </row>
    <row r="84" spans="2:2" x14ac:dyDescent="0.3">
      <c r="B84" s="4"/>
    </row>
    <row r="85" spans="2:2" x14ac:dyDescent="0.3">
      <c r="B85" s="4"/>
    </row>
    <row r="86" spans="2:2" x14ac:dyDescent="0.3">
      <c r="B86" s="4"/>
    </row>
    <row r="87" spans="2:2" x14ac:dyDescent="0.3">
      <c r="B87" s="4"/>
    </row>
    <row r="88" spans="2:2" x14ac:dyDescent="0.3">
      <c r="B88" s="4"/>
    </row>
    <row r="89" spans="2:2" x14ac:dyDescent="0.3">
      <c r="B89" s="4"/>
    </row>
    <row r="90" spans="2:2" x14ac:dyDescent="0.3">
      <c r="B90" s="4"/>
    </row>
    <row r="91" spans="2:2" x14ac:dyDescent="0.3">
      <c r="B91" s="4"/>
    </row>
    <row r="92" spans="2:2" x14ac:dyDescent="0.3">
      <c r="B92" s="4"/>
    </row>
    <row r="93" spans="2:2" x14ac:dyDescent="0.3">
      <c r="B93" s="4"/>
    </row>
    <row r="94" spans="2:2" x14ac:dyDescent="0.3">
      <c r="B94" s="4"/>
    </row>
    <row r="95" spans="2:2" x14ac:dyDescent="0.3">
      <c r="B95" s="4"/>
    </row>
    <row r="96" spans="2:2" x14ac:dyDescent="0.3">
      <c r="B96" s="4"/>
    </row>
    <row r="97" spans="2:2" x14ac:dyDescent="0.3">
      <c r="B97" s="4"/>
    </row>
    <row r="98" spans="2:2" x14ac:dyDescent="0.3">
      <c r="B98" s="4"/>
    </row>
    <row r="99" spans="2:2" x14ac:dyDescent="0.3">
      <c r="B99" s="4"/>
    </row>
    <row r="100" spans="2:2" x14ac:dyDescent="0.3">
      <c r="B100" s="4"/>
    </row>
    <row r="101" spans="2:2" x14ac:dyDescent="0.3">
      <c r="B101" s="4"/>
    </row>
    <row r="102" spans="2:2" x14ac:dyDescent="0.3">
      <c r="B102" s="4"/>
    </row>
    <row r="103" spans="2:2" x14ac:dyDescent="0.3">
      <c r="B103" s="4"/>
    </row>
    <row r="104" spans="2:2" x14ac:dyDescent="0.3">
      <c r="B104" s="4"/>
    </row>
    <row r="105" spans="2:2" x14ac:dyDescent="0.3">
      <c r="B105" s="4"/>
    </row>
    <row r="106" spans="2:2" x14ac:dyDescent="0.3">
      <c r="B106" s="4"/>
    </row>
    <row r="107" spans="2:2" x14ac:dyDescent="0.3">
      <c r="B107" s="4"/>
    </row>
    <row r="108" spans="2:2" x14ac:dyDescent="0.3">
      <c r="B108" s="4"/>
    </row>
    <row r="109" spans="2:2" x14ac:dyDescent="0.3">
      <c r="B109" s="4"/>
    </row>
    <row r="110" spans="2:2" x14ac:dyDescent="0.3">
      <c r="B110" s="4"/>
    </row>
    <row r="111" spans="2:2" x14ac:dyDescent="0.3">
      <c r="B111" s="4"/>
    </row>
    <row r="112" spans="2:2" x14ac:dyDescent="0.3">
      <c r="B112" s="4"/>
    </row>
    <row r="113" spans="2:2" x14ac:dyDescent="0.3">
      <c r="B113" s="4"/>
    </row>
    <row r="114" spans="2:2" x14ac:dyDescent="0.3">
      <c r="B114" s="4"/>
    </row>
    <row r="115" spans="2:2" x14ac:dyDescent="0.3">
      <c r="B115" s="4"/>
    </row>
    <row r="116" spans="2:2" x14ac:dyDescent="0.3">
      <c r="B116" s="4"/>
    </row>
    <row r="117" spans="2:2" x14ac:dyDescent="0.3">
      <c r="B117" s="4"/>
    </row>
    <row r="118" spans="2:2" x14ac:dyDescent="0.3">
      <c r="B118" s="4"/>
    </row>
    <row r="119" spans="2:2" x14ac:dyDescent="0.3">
      <c r="B119" s="4"/>
    </row>
    <row r="120" spans="2:2" x14ac:dyDescent="0.3">
      <c r="B120" s="4"/>
    </row>
    <row r="121" spans="2:2" x14ac:dyDescent="0.3">
      <c r="B121" s="4"/>
    </row>
    <row r="122" spans="2:2" x14ac:dyDescent="0.3">
      <c r="B122" s="4"/>
    </row>
    <row r="123" spans="2:2" x14ac:dyDescent="0.3">
      <c r="B123" s="4"/>
    </row>
    <row r="124" spans="2:2" x14ac:dyDescent="0.3">
      <c r="B124" s="4"/>
    </row>
    <row r="125" spans="2:2" x14ac:dyDescent="0.3">
      <c r="B125" s="4"/>
    </row>
    <row r="126" spans="2:2" x14ac:dyDescent="0.3">
      <c r="B126" s="4"/>
    </row>
    <row r="127" spans="2:2" x14ac:dyDescent="0.3">
      <c r="B127" s="4"/>
    </row>
    <row r="128" spans="2:2" x14ac:dyDescent="0.3">
      <c r="B128" s="4"/>
    </row>
    <row r="129" spans="2:2" x14ac:dyDescent="0.3">
      <c r="B129" s="4"/>
    </row>
    <row r="130" spans="2:2" x14ac:dyDescent="0.3">
      <c r="B130" s="4"/>
    </row>
    <row r="131" spans="2:2" x14ac:dyDescent="0.3">
      <c r="B131" s="4"/>
    </row>
    <row r="132" spans="2:2" x14ac:dyDescent="0.3">
      <c r="B132" s="4"/>
    </row>
    <row r="133" spans="2:2" x14ac:dyDescent="0.3">
      <c r="B133" s="4"/>
    </row>
    <row r="134" spans="2:2" x14ac:dyDescent="0.3">
      <c r="B134" s="4"/>
    </row>
    <row r="135" spans="2:2" x14ac:dyDescent="0.3">
      <c r="B135" s="4"/>
    </row>
    <row r="136" spans="2:2" x14ac:dyDescent="0.3">
      <c r="B136" s="4"/>
    </row>
    <row r="137" spans="2:2" x14ac:dyDescent="0.3">
      <c r="B137" s="4"/>
    </row>
    <row r="138" spans="2:2" x14ac:dyDescent="0.3">
      <c r="B138" s="4"/>
    </row>
    <row r="139" spans="2:2" x14ac:dyDescent="0.3">
      <c r="B139" s="4"/>
    </row>
    <row r="140" spans="2:2" x14ac:dyDescent="0.3">
      <c r="B140" s="4"/>
    </row>
    <row r="141" spans="2:2" x14ac:dyDescent="0.3">
      <c r="B141" s="4"/>
    </row>
    <row r="142" spans="2:2" x14ac:dyDescent="0.3">
      <c r="B142" s="4"/>
    </row>
    <row r="143" spans="2:2" x14ac:dyDescent="0.3">
      <c r="B143" s="4"/>
    </row>
    <row r="144" spans="2:2" x14ac:dyDescent="0.3">
      <c r="B144" s="4"/>
    </row>
    <row r="145" spans="2:2" x14ac:dyDescent="0.3">
      <c r="B145" s="4"/>
    </row>
    <row r="146" spans="2:2" x14ac:dyDescent="0.3">
      <c r="B146" s="4"/>
    </row>
    <row r="147" spans="2:2" x14ac:dyDescent="0.3">
      <c r="B147" s="4"/>
    </row>
    <row r="148" spans="2:2" x14ac:dyDescent="0.3">
      <c r="B148" s="4"/>
    </row>
    <row r="149" spans="2:2" x14ac:dyDescent="0.3">
      <c r="B149" s="4"/>
    </row>
    <row r="150" spans="2:2" x14ac:dyDescent="0.3">
      <c r="B150" s="4"/>
    </row>
    <row r="151" spans="2:2" x14ac:dyDescent="0.3">
      <c r="B151" s="4"/>
    </row>
    <row r="152" spans="2:2" x14ac:dyDescent="0.3">
      <c r="B152" s="4"/>
    </row>
    <row r="153" spans="2:2" x14ac:dyDescent="0.3">
      <c r="B153" s="4"/>
    </row>
    <row r="154" spans="2:2" x14ac:dyDescent="0.3">
      <c r="B154" s="4"/>
    </row>
    <row r="155" spans="2:2" x14ac:dyDescent="0.3">
      <c r="B155" s="4"/>
    </row>
    <row r="156" spans="2:2" x14ac:dyDescent="0.3">
      <c r="B156" s="4"/>
    </row>
    <row r="157" spans="2:2" x14ac:dyDescent="0.3">
      <c r="B157" s="4"/>
    </row>
    <row r="158" spans="2:2" x14ac:dyDescent="0.3">
      <c r="B158" s="4"/>
    </row>
    <row r="159" spans="2:2" x14ac:dyDescent="0.3">
      <c r="B159" s="4"/>
    </row>
    <row r="160" spans="2:2" x14ac:dyDescent="0.3">
      <c r="B160" s="4"/>
    </row>
    <row r="161" spans="2:2" x14ac:dyDescent="0.3">
      <c r="B161" s="4"/>
    </row>
    <row r="162" spans="2:2" x14ac:dyDescent="0.3">
      <c r="B162" s="4"/>
    </row>
    <row r="163" spans="2:2" x14ac:dyDescent="0.3">
      <c r="B163" s="4"/>
    </row>
    <row r="164" spans="2:2" x14ac:dyDescent="0.3">
      <c r="B164" s="4"/>
    </row>
    <row r="165" spans="2:2" x14ac:dyDescent="0.3">
      <c r="B165" s="4"/>
    </row>
    <row r="166" spans="2:2" x14ac:dyDescent="0.3">
      <c r="B166" s="4"/>
    </row>
    <row r="167" spans="2:2" x14ac:dyDescent="0.3">
      <c r="B167" s="4"/>
    </row>
    <row r="168" spans="2:2" x14ac:dyDescent="0.3">
      <c r="B168" s="4"/>
    </row>
    <row r="169" spans="2:2" x14ac:dyDescent="0.3">
      <c r="B169" s="4"/>
    </row>
    <row r="170" spans="2:2" x14ac:dyDescent="0.3">
      <c r="B170" s="4"/>
    </row>
    <row r="171" spans="2:2" x14ac:dyDescent="0.3">
      <c r="B171" s="4"/>
    </row>
    <row r="172" spans="2:2" x14ac:dyDescent="0.3">
      <c r="B172" s="4"/>
    </row>
    <row r="173" spans="2:2" x14ac:dyDescent="0.3">
      <c r="B173" s="4"/>
    </row>
    <row r="174" spans="2:2" x14ac:dyDescent="0.3">
      <c r="B174" s="4"/>
    </row>
    <row r="175" spans="2:2" x14ac:dyDescent="0.3">
      <c r="B175" s="4"/>
    </row>
    <row r="176" spans="2:2" x14ac:dyDescent="0.3">
      <c r="B176" s="4"/>
    </row>
    <row r="177" spans="2:2" x14ac:dyDescent="0.3">
      <c r="B177" s="4"/>
    </row>
    <row r="178" spans="2:2" x14ac:dyDescent="0.3">
      <c r="B178" s="4"/>
    </row>
    <row r="179" spans="2:2" x14ac:dyDescent="0.3">
      <c r="B179" s="4"/>
    </row>
    <row r="180" spans="2:2" x14ac:dyDescent="0.3">
      <c r="B180" s="4"/>
    </row>
    <row r="181" spans="2:2" x14ac:dyDescent="0.3">
      <c r="B181" s="4"/>
    </row>
    <row r="182" spans="2:2" x14ac:dyDescent="0.3">
      <c r="B182" s="4"/>
    </row>
    <row r="183" spans="2:2" x14ac:dyDescent="0.3">
      <c r="B183" s="4"/>
    </row>
    <row r="184" spans="2:2" x14ac:dyDescent="0.3">
      <c r="B184" s="4"/>
    </row>
    <row r="185" spans="2:2" x14ac:dyDescent="0.3">
      <c r="B185" s="4"/>
    </row>
    <row r="186" spans="2:2" x14ac:dyDescent="0.3">
      <c r="B186" s="4"/>
    </row>
    <row r="187" spans="2:2" x14ac:dyDescent="0.3">
      <c r="B187" s="4"/>
    </row>
    <row r="188" spans="2:2" x14ac:dyDescent="0.3">
      <c r="B188" s="4"/>
    </row>
    <row r="189" spans="2:2" x14ac:dyDescent="0.3">
      <c r="B189" s="4"/>
    </row>
    <row r="190" spans="2:2" x14ac:dyDescent="0.3">
      <c r="B190" s="4"/>
    </row>
    <row r="191" spans="2:2" x14ac:dyDescent="0.3">
      <c r="B191" s="4"/>
    </row>
    <row r="192" spans="2:2" x14ac:dyDescent="0.3">
      <c r="B192" s="4"/>
    </row>
    <row r="193" spans="2:2" x14ac:dyDescent="0.3">
      <c r="B193" s="4"/>
    </row>
    <row r="194" spans="2:2" x14ac:dyDescent="0.3">
      <c r="B194" s="4"/>
    </row>
    <row r="195" spans="2:2" x14ac:dyDescent="0.3">
      <c r="B195" s="4"/>
    </row>
    <row r="196" spans="2:2" x14ac:dyDescent="0.3">
      <c r="B196" s="4"/>
    </row>
    <row r="197" spans="2:2" x14ac:dyDescent="0.3">
      <c r="B197" s="4"/>
    </row>
    <row r="198" spans="2:2" x14ac:dyDescent="0.3">
      <c r="B198" s="4"/>
    </row>
    <row r="199" spans="2:2" x14ac:dyDescent="0.3">
      <c r="B199" s="4"/>
    </row>
    <row r="200" spans="2:2" x14ac:dyDescent="0.3">
      <c r="B200" s="4"/>
    </row>
    <row r="201" spans="2:2" x14ac:dyDescent="0.3">
      <c r="B201" s="4"/>
    </row>
    <row r="202" spans="2:2" x14ac:dyDescent="0.3">
      <c r="B202" s="4"/>
    </row>
    <row r="203" spans="2:2" x14ac:dyDescent="0.3">
      <c r="B203" s="4"/>
    </row>
    <row r="204" spans="2:2" x14ac:dyDescent="0.3">
      <c r="B204" s="4"/>
    </row>
    <row r="205" spans="2:2" x14ac:dyDescent="0.3">
      <c r="B205" s="4"/>
    </row>
    <row r="206" spans="2:2" x14ac:dyDescent="0.3">
      <c r="B206" s="4"/>
    </row>
    <row r="207" spans="2:2" x14ac:dyDescent="0.3">
      <c r="B207" s="4"/>
    </row>
    <row r="208" spans="2:2" x14ac:dyDescent="0.3">
      <c r="B208" s="4"/>
    </row>
    <row r="209" spans="2:2" x14ac:dyDescent="0.3">
      <c r="B209" s="4"/>
    </row>
    <row r="210" spans="2:2" x14ac:dyDescent="0.3">
      <c r="B210" s="4"/>
    </row>
    <row r="211" spans="2:2" x14ac:dyDescent="0.3">
      <c r="B211" s="4"/>
    </row>
    <row r="212" spans="2:2" x14ac:dyDescent="0.3">
      <c r="B212" s="4"/>
    </row>
    <row r="213" spans="2:2" x14ac:dyDescent="0.3">
      <c r="B213" s="4"/>
    </row>
    <row r="214" spans="2:2" x14ac:dyDescent="0.3">
      <c r="B214" s="4"/>
    </row>
    <row r="215" spans="2:2" x14ac:dyDescent="0.3">
      <c r="B215" s="4"/>
    </row>
    <row r="216" spans="2:2" x14ac:dyDescent="0.3">
      <c r="B216" s="4"/>
    </row>
    <row r="217" spans="2:2" x14ac:dyDescent="0.3">
      <c r="B217" s="4"/>
    </row>
    <row r="218" spans="2:2" x14ac:dyDescent="0.3">
      <c r="B218" s="4"/>
    </row>
    <row r="219" spans="2:2" x14ac:dyDescent="0.3">
      <c r="B219" s="4"/>
    </row>
    <row r="220" spans="2:2" x14ac:dyDescent="0.3">
      <c r="B220" s="4"/>
    </row>
    <row r="221" spans="2:2" x14ac:dyDescent="0.3">
      <c r="B221" s="4"/>
    </row>
    <row r="222" spans="2:2" x14ac:dyDescent="0.3">
      <c r="B222" s="4"/>
    </row>
    <row r="223" spans="2:2" x14ac:dyDescent="0.3">
      <c r="B223" s="4"/>
    </row>
    <row r="224" spans="2:2" x14ac:dyDescent="0.3">
      <c r="B224" s="4"/>
    </row>
    <row r="225" spans="2:2" x14ac:dyDescent="0.3">
      <c r="B225" s="4"/>
    </row>
    <row r="226" spans="2:2" x14ac:dyDescent="0.3">
      <c r="B226" s="4"/>
    </row>
    <row r="227" spans="2:2" x14ac:dyDescent="0.3">
      <c r="B227" s="4"/>
    </row>
    <row r="228" spans="2:2" x14ac:dyDescent="0.3">
      <c r="B228" s="4"/>
    </row>
    <row r="229" spans="2:2" x14ac:dyDescent="0.3">
      <c r="B229" s="4"/>
    </row>
    <row r="230" spans="2:2" x14ac:dyDescent="0.3">
      <c r="B230" s="4"/>
    </row>
    <row r="231" spans="2:2" x14ac:dyDescent="0.3">
      <c r="B231" s="4"/>
    </row>
    <row r="232" spans="2:2" x14ac:dyDescent="0.3">
      <c r="B232" s="4"/>
    </row>
    <row r="233" spans="2:2" x14ac:dyDescent="0.3">
      <c r="B233" s="4"/>
    </row>
    <row r="234" spans="2:2" x14ac:dyDescent="0.3">
      <c r="B234" s="4"/>
    </row>
    <row r="235" spans="2:2" x14ac:dyDescent="0.3">
      <c r="B235" s="4"/>
    </row>
    <row r="236" spans="2:2" x14ac:dyDescent="0.3">
      <c r="B236" s="4"/>
    </row>
    <row r="237" spans="2:2" x14ac:dyDescent="0.3">
      <c r="B237" s="4"/>
    </row>
    <row r="238" spans="2:2" x14ac:dyDescent="0.3">
      <c r="B238" s="4"/>
    </row>
    <row r="239" spans="2:2" x14ac:dyDescent="0.3">
      <c r="B239" s="4"/>
    </row>
    <row r="240" spans="2:2" x14ac:dyDescent="0.3">
      <c r="B240" s="4"/>
    </row>
    <row r="241" spans="2:2" x14ac:dyDescent="0.3">
      <c r="B241" s="4"/>
    </row>
    <row r="242" spans="2:2" x14ac:dyDescent="0.3">
      <c r="B242" s="4"/>
    </row>
    <row r="243" spans="2:2" x14ac:dyDescent="0.3">
      <c r="B243" s="4"/>
    </row>
    <row r="244" spans="2:2" x14ac:dyDescent="0.3">
      <c r="B244" s="4"/>
    </row>
    <row r="245" spans="2:2" x14ac:dyDescent="0.3">
      <c r="B245" s="4"/>
    </row>
    <row r="246" spans="2:2" x14ac:dyDescent="0.3">
      <c r="B246" s="4"/>
    </row>
    <row r="247" spans="2:2" x14ac:dyDescent="0.3">
      <c r="B247" s="4"/>
    </row>
    <row r="248" spans="2:2" x14ac:dyDescent="0.3">
      <c r="B248" s="4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F51" sqref="F51"/>
    </sheetView>
  </sheetViews>
  <sheetFormatPr defaultRowHeight="14.4" x14ac:dyDescent="0.3"/>
  <sheetData>
    <row r="1" spans="1:1" x14ac:dyDescent="0.3">
      <c r="A1" t="s">
        <v>11</v>
      </c>
    </row>
    <row r="2" spans="1:1" x14ac:dyDescent="0.3">
      <c r="A2" t="s">
        <v>12</v>
      </c>
    </row>
    <row r="3" spans="1:1" x14ac:dyDescent="0.3">
      <c r="A3" t="s">
        <v>13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FEA58-154C-4675-97B0-12AD26F5FA90}">
  <dimension ref="A1:B5"/>
  <sheetViews>
    <sheetView workbookViewId="0">
      <selection activeCell="A35" sqref="A35"/>
    </sheetView>
  </sheetViews>
  <sheetFormatPr defaultRowHeight="14.4" x14ac:dyDescent="0.3"/>
  <sheetData>
    <row r="1" spans="1:2" x14ac:dyDescent="0.3">
      <c r="A1" t="s">
        <v>129</v>
      </c>
    </row>
    <row r="2" spans="1:2" x14ac:dyDescent="0.3">
      <c r="A2" t="s">
        <v>130</v>
      </c>
    </row>
    <row r="3" spans="1:2" x14ac:dyDescent="0.3">
      <c r="A3" t="s">
        <v>37</v>
      </c>
      <c r="B3" t="s">
        <v>131</v>
      </c>
    </row>
    <row r="4" spans="1:2" x14ac:dyDescent="0.3">
      <c r="A4" t="s">
        <v>12</v>
      </c>
      <c r="B4">
        <v>30</v>
      </c>
    </row>
    <row r="5" spans="1:2" x14ac:dyDescent="0.3">
      <c r="A5" t="s">
        <v>13</v>
      </c>
      <c r="B5">
        <v>30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0"/>
  <sheetViews>
    <sheetView workbookViewId="0"/>
  </sheetViews>
  <sheetFormatPr defaultRowHeight="14.4" x14ac:dyDescent="0.3"/>
  <cols>
    <col min="2" max="2" width="12.88671875" bestFit="1" customWidth="1"/>
  </cols>
  <sheetData>
    <row r="1" spans="1:3" x14ac:dyDescent="0.3">
      <c r="A1" t="s">
        <v>68</v>
      </c>
    </row>
    <row r="2" spans="1:3" x14ac:dyDescent="0.3">
      <c r="A2" t="s">
        <v>69</v>
      </c>
    </row>
    <row r="3" spans="1:3" x14ac:dyDescent="0.3">
      <c r="A3" t="s">
        <v>16</v>
      </c>
      <c r="B3" t="s">
        <v>102</v>
      </c>
      <c r="C3" t="s">
        <v>86</v>
      </c>
    </row>
    <row r="4" spans="1:3" x14ac:dyDescent="0.3">
      <c r="A4" t="s">
        <v>17</v>
      </c>
      <c r="B4" t="s">
        <v>12</v>
      </c>
      <c r="C4">
        <v>392.46575342465752</v>
      </c>
    </row>
    <row r="5" spans="1:3" x14ac:dyDescent="0.3">
      <c r="A5" t="s">
        <v>21</v>
      </c>
      <c r="B5" t="s">
        <v>12</v>
      </c>
      <c r="C5">
        <v>366.43835616438349</v>
      </c>
    </row>
    <row r="6" spans="1:3" x14ac:dyDescent="0.3">
      <c r="A6" t="s">
        <v>25</v>
      </c>
      <c r="B6" t="s">
        <v>12</v>
      </c>
      <c r="C6">
        <v>310.15981735159818</v>
      </c>
    </row>
    <row r="7" spans="1:3" x14ac:dyDescent="0.3">
      <c r="A7" t="s">
        <v>30</v>
      </c>
      <c r="B7" t="s">
        <v>12</v>
      </c>
      <c r="C7">
        <v>248.4018264840183</v>
      </c>
    </row>
    <row r="8" spans="1:3" x14ac:dyDescent="0.3">
      <c r="A8" t="s">
        <v>19</v>
      </c>
      <c r="B8" t="s">
        <v>12</v>
      </c>
      <c r="C8">
        <v>170.662100456621</v>
      </c>
    </row>
    <row r="9" spans="1:3" x14ac:dyDescent="0.3">
      <c r="A9" t="s">
        <v>75</v>
      </c>
      <c r="B9" t="s">
        <v>12</v>
      </c>
      <c r="C9">
        <v>127.6255707762557</v>
      </c>
    </row>
    <row r="10" spans="1:3" x14ac:dyDescent="0.3">
      <c r="A10" t="s">
        <v>34</v>
      </c>
      <c r="B10" t="s">
        <v>12</v>
      </c>
      <c r="C10">
        <v>127.6255707762557</v>
      </c>
    </row>
    <row r="11" spans="1:3" x14ac:dyDescent="0.3">
      <c r="A11" t="s">
        <v>24</v>
      </c>
      <c r="B11" t="s">
        <v>12</v>
      </c>
      <c r="C11">
        <v>125.5707762557078</v>
      </c>
    </row>
    <row r="12" spans="1:3" x14ac:dyDescent="0.3">
      <c r="A12" t="s">
        <v>22</v>
      </c>
      <c r="B12" t="s">
        <v>12</v>
      </c>
      <c r="C12">
        <v>116.43835616438361</v>
      </c>
    </row>
    <row r="13" spans="1:3" x14ac:dyDescent="0.3">
      <c r="A13" t="s">
        <v>20</v>
      </c>
      <c r="B13" t="s">
        <v>12</v>
      </c>
      <c r="C13">
        <v>69.520547945205479</v>
      </c>
    </row>
    <row r="14" spans="1:3" x14ac:dyDescent="0.3">
      <c r="A14" t="s">
        <v>18</v>
      </c>
      <c r="B14" t="s">
        <v>12</v>
      </c>
      <c r="C14">
        <v>68.493150684931507</v>
      </c>
    </row>
    <row r="15" spans="1:3" x14ac:dyDescent="0.3">
      <c r="A15" t="s">
        <v>23</v>
      </c>
      <c r="B15" t="s">
        <v>12</v>
      </c>
      <c r="C15">
        <v>55.365296803652967</v>
      </c>
    </row>
    <row r="16" spans="1:3" x14ac:dyDescent="0.3">
      <c r="A16" t="s">
        <v>28</v>
      </c>
      <c r="B16" t="s">
        <v>12</v>
      </c>
      <c r="C16">
        <v>48.972602739726028</v>
      </c>
    </row>
    <row r="17" spans="1:3" x14ac:dyDescent="0.3">
      <c r="A17" t="s">
        <v>32</v>
      </c>
      <c r="B17" t="s">
        <v>12</v>
      </c>
      <c r="C17">
        <v>43.721461187214622</v>
      </c>
    </row>
    <row r="18" spans="1:3" x14ac:dyDescent="0.3">
      <c r="A18" t="s">
        <v>27</v>
      </c>
      <c r="B18" t="s">
        <v>12</v>
      </c>
      <c r="C18">
        <v>39.954337899543383</v>
      </c>
    </row>
    <row r="19" spans="1:3" x14ac:dyDescent="0.3">
      <c r="A19" t="s">
        <v>72</v>
      </c>
      <c r="B19" t="s">
        <v>12</v>
      </c>
      <c r="C19">
        <v>22.831050228310499</v>
      </c>
    </row>
    <row r="20" spans="1:3" x14ac:dyDescent="0.3">
      <c r="A20" t="s">
        <v>33</v>
      </c>
      <c r="B20" t="s">
        <v>12</v>
      </c>
      <c r="C20">
        <v>18.835616438356169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10"/>
  <sheetViews>
    <sheetView workbookViewId="0">
      <selection activeCell="I51" sqref="I51"/>
    </sheetView>
  </sheetViews>
  <sheetFormatPr defaultRowHeight="14.4" x14ac:dyDescent="0.3"/>
  <cols>
    <col min="1" max="1" width="16" customWidth="1"/>
  </cols>
  <sheetData>
    <row r="1" spans="1:3" x14ac:dyDescent="0.3">
      <c r="A1" t="s">
        <v>39</v>
      </c>
    </row>
    <row r="2" spans="1:3" x14ac:dyDescent="0.3">
      <c r="A2" t="s">
        <v>40</v>
      </c>
    </row>
    <row r="3" spans="1:3" x14ac:dyDescent="0.3">
      <c r="A3" t="s">
        <v>37</v>
      </c>
      <c r="B3" t="s">
        <v>41</v>
      </c>
      <c r="C3" t="s">
        <v>42</v>
      </c>
    </row>
    <row r="4" spans="1:3" x14ac:dyDescent="0.3">
      <c r="A4" t="s">
        <v>12</v>
      </c>
      <c r="B4">
        <v>1</v>
      </c>
      <c r="C4">
        <v>0.48</v>
      </c>
    </row>
    <row r="5" spans="1:3" x14ac:dyDescent="0.3">
      <c r="A5" t="s">
        <v>12</v>
      </c>
      <c r="B5">
        <v>2</v>
      </c>
      <c r="C5">
        <v>0.60000000000000009</v>
      </c>
    </row>
    <row r="6" spans="1:3" x14ac:dyDescent="0.3">
      <c r="A6" t="s">
        <v>12</v>
      </c>
      <c r="B6">
        <v>3</v>
      </c>
      <c r="C6">
        <v>0.72000000000000008</v>
      </c>
    </row>
    <row r="7" spans="1:3" x14ac:dyDescent="0.3">
      <c r="A7" t="s">
        <v>12</v>
      </c>
      <c r="B7">
        <v>4</v>
      </c>
      <c r="C7">
        <v>0.84000000000000008</v>
      </c>
    </row>
    <row r="8" spans="1:3" x14ac:dyDescent="0.3">
      <c r="A8" t="s">
        <v>12</v>
      </c>
      <c r="B8">
        <v>5</v>
      </c>
      <c r="C8">
        <v>0.96</v>
      </c>
    </row>
    <row r="9" spans="1:3" x14ac:dyDescent="0.3">
      <c r="A9" t="s">
        <v>12</v>
      </c>
      <c r="B9">
        <v>6</v>
      </c>
      <c r="C9">
        <v>1</v>
      </c>
    </row>
    <row r="10" spans="1:3" x14ac:dyDescent="0.3">
      <c r="A10" t="s">
        <v>12</v>
      </c>
      <c r="B10">
        <v>7</v>
      </c>
      <c r="C10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19"/>
  <sheetViews>
    <sheetView workbookViewId="0">
      <selection activeCell="Q30" sqref="Q30"/>
    </sheetView>
  </sheetViews>
  <sheetFormatPr defaultRowHeight="14.4" x14ac:dyDescent="0.3"/>
  <cols>
    <col min="1" max="1" width="16" customWidth="1"/>
    <col min="3" max="3" width="10" bestFit="1" customWidth="1"/>
  </cols>
  <sheetData>
    <row r="1" spans="1:3" x14ac:dyDescent="0.3">
      <c r="A1" t="s">
        <v>103</v>
      </c>
    </row>
    <row r="2" spans="1:3" x14ac:dyDescent="0.3">
      <c r="A2" t="s">
        <v>88</v>
      </c>
    </row>
    <row r="3" spans="1:3" x14ac:dyDescent="0.3">
      <c r="A3" t="s">
        <v>37</v>
      </c>
      <c r="B3" t="s">
        <v>41</v>
      </c>
      <c r="C3" t="s">
        <v>89</v>
      </c>
    </row>
    <row r="4" spans="1:3" x14ac:dyDescent="0.3">
      <c r="A4" t="s">
        <v>12</v>
      </c>
      <c r="B4">
        <v>1</v>
      </c>
      <c r="C4">
        <v>16873.456790123459</v>
      </c>
    </row>
    <row r="5" spans="1:3" x14ac:dyDescent="0.3">
      <c r="A5" t="s">
        <v>12</v>
      </c>
      <c r="B5">
        <v>2</v>
      </c>
      <c r="C5">
        <v>999999999</v>
      </c>
    </row>
    <row r="6" spans="1:3" x14ac:dyDescent="0.3">
      <c r="A6" t="s">
        <v>12</v>
      </c>
      <c r="B6">
        <v>3</v>
      </c>
      <c r="C6">
        <v>999999999</v>
      </c>
    </row>
    <row r="7" spans="1:3" x14ac:dyDescent="0.3">
      <c r="A7" t="s">
        <v>12</v>
      </c>
      <c r="B7">
        <v>4</v>
      </c>
      <c r="C7">
        <v>999999999</v>
      </c>
    </row>
    <row r="8" spans="1:3" x14ac:dyDescent="0.3">
      <c r="A8" t="s">
        <v>12</v>
      </c>
      <c r="B8">
        <v>5</v>
      </c>
      <c r="C8">
        <v>999999999</v>
      </c>
    </row>
    <row r="9" spans="1:3" x14ac:dyDescent="0.3">
      <c r="A9" t="s">
        <v>12</v>
      </c>
      <c r="B9">
        <v>6</v>
      </c>
      <c r="C9">
        <v>999999999</v>
      </c>
    </row>
    <row r="10" spans="1:3" x14ac:dyDescent="0.3">
      <c r="A10" t="s">
        <v>12</v>
      </c>
      <c r="B10">
        <v>7</v>
      </c>
      <c r="C10">
        <v>999999999</v>
      </c>
    </row>
    <row r="11" spans="1:3" x14ac:dyDescent="0.3">
      <c r="A11" t="s">
        <v>12</v>
      </c>
      <c r="B11">
        <v>8</v>
      </c>
      <c r="C11">
        <v>999999999</v>
      </c>
    </row>
    <row r="12" spans="1:3" x14ac:dyDescent="0.3">
      <c r="A12" t="s">
        <v>13</v>
      </c>
      <c r="B12">
        <v>1</v>
      </c>
      <c r="C12">
        <v>999999999</v>
      </c>
    </row>
    <row r="13" spans="1:3" x14ac:dyDescent="0.3">
      <c r="A13" t="s">
        <v>13</v>
      </c>
      <c r="B13">
        <v>2</v>
      </c>
      <c r="C13">
        <v>7561.5974151234605</v>
      </c>
    </row>
    <row r="14" spans="1:3" x14ac:dyDescent="0.3">
      <c r="A14" t="s">
        <v>13</v>
      </c>
      <c r="B14">
        <v>3</v>
      </c>
      <c r="C14">
        <v>7561.5974151234605</v>
      </c>
    </row>
    <row r="15" spans="1:3" x14ac:dyDescent="0.3">
      <c r="A15" t="s">
        <v>13</v>
      </c>
      <c r="B15">
        <v>4</v>
      </c>
      <c r="C15">
        <v>7561.5974151234605</v>
      </c>
    </row>
    <row r="16" spans="1:3" x14ac:dyDescent="0.3">
      <c r="A16" t="s">
        <v>13</v>
      </c>
      <c r="B16">
        <v>5</v>
      </c>
      <c r="C16">
        <v>7561.5974151234605</v>
      </c>
    </row>
    <row r="17" spans="1:3" x14ac:dyDescent="0.3">
      <c r="A17" t="s">
        <v>13</v>
      </c>
      <c r="B17">
        <v>6</v>
      </c>
      <c r="C17">
        <v>7561.5974151234605</v>
      </c>
    </row>
    <row r="18" spans="1:3" x14ac:dyDescent="0.3">
      <c r="A18" t="s">
        <v>13</v>
      </c>
      <c r="B18">
        <v>7</v>
      </c>
      <c r="C18">
        <v>7561.5974151234605</v>
      </c>
    </row>
    <row r="19" spans="1:3" x14ac:dyDescent="0.3">
      <c r="A19" t="s">
        <v>13</v>
      </c>
      <c r="B19">
        <v>8</v>
      </c>
      <c r="C19">
        <v>7561.5974151234605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19"/>
  <sheetViews>
    <sheetView workbookViewId="0">
      <selection activeCell="B12" sqref="B12"/>
    </sheetView>
  </sheetViews>
  <sheetFormatPr defaultRowHeight="14.4" x14ac:dyDescent="0.3"/>
  <sheetData>
    <row r="1" spans="1:3" x14ac:dyDescent="0.3">
      <c r="A1" t="s">
        <v>104</v>
      </c>
    </row>
    <row r="2" spans="1:3" x14ac:dyDescent="0.3">
      <c r="A2" t="s">
        <v>105</v>
      </c>
    </row>
    <row r="3" spans="1:3" x14ac:dyDescent="0.3">
      <c r="A3" t="s">
        <v>37</v>
      </c>
      <c r="B3" t="s">
        <v>41</v>
      </c>
      <c r="C3" t="s">
        <v>91</v>
      </c>
    </row>
    <row r="4" spans="1:3" x14ac:dyDescent="0.3">
      <c r="A4" t="s">
        <v>12</v>
      </c>
      <c r="B4">
        <v>1</v>
      </c>
      <c r="C4">
        <v>253.1018518518519</v>
      </c>
    </row>
    <row r="5" spans="1:3" x14ac:dyDescent="0.3">
      <c r="A5" t="s">
        <v>12</v>
      </c>
      <c r="B5">
        <v>2</v>
      </c>
      <c r="C5">
        <v>253.1018518518519</v>
      </c>
    </row>
    <row r="6" spans="1:3" x14ac:dyDescent="0.3">
      <c r="A6" t="s">
        <v>12</v>
      </c>
      <c r="B6">
        <v>3</v>
      </c>
      <c r="C6">
        <v>253.1018518518519</v>
      </c>
    </row>
    <row r="7" spans="1:3" x14ac:dyDescent="0.3">
      <c r="A7" t="s">
        <v>12</v>
      </c>
      <c r="B7">
        <v>4</v>
      </c>
      <c r="C7">
        <v>253.1018518518519</v>
      </c>
    </row>
    <row r="8" spans="1:3" x14ac:dyDescent="0.3">
      <c r="A8" t="s">
        <v>12</v>
      </c>
      <c r="B8">
        <v>5</v>
      </c>
      <c r="C8">
        <v>253.1018518518519</v>
      </c>
    </row>
    <row r="9" spans="1:3" x14ac:dyDescent="0.3">
      <c r="A9" t="s">
        <v>12</v>
      </c>
      <c r="B9">
        <v>6</v>
      </c>
      <c r="C9">
        <v>253.1018518518519</v>
      </c>
    </row>
    <row r="10" spans="1:3" x14ac:dyDescent="0.3">
      <c r="A10" t="s">
        <v>12</v>
      </c>
      <c r="B10">
        <v>7</v>
      </c>
      <c r="C10">
        <v>253.1018518518519</v>
      </c>
    </row>
    <row r="11" spans="1:3" x14ac:dyDescent="0.3">
      <c r="A11" t="s">
        <v>12</v>
      </c>
      <c r="B11">
        <v>8</v>
      </c>
      <c r="C11">
        <v>253.1018518518519</v>
      </c>
    </row>
    <row r="12" spans="1:3" x14ac:dyDescent="0.3">
      <c r="A12" t="s">
        <v>13</v>
      </c>
      <c r="B12">
        <v>1</v>
      </c>
      <c r="C12">
        <v>113.4239612268519</v>
      </c>
    </row>
    <row r="13" spans="1:3" x14ac:dyDescent="0.3">
      <c r="A13" t="s">
        <v>13</v>
      </c>
      <c r="B13">
        <v>2</v>
      </c>
      <c r="C13">
        <v>113.4239612268519</v>
      </c>
    </row>
    <row r="14" spans="1:3" x14ac:dyDescent="0.3">
      <c r="A14" t="s">
        <v>13</v>
      </c>
      <c r="B14">
        <v>3</v>
      </c>
      <c r="C14">
        <v>113.4239612268519</v>
      </c>
    </row>
    <row r="15" spans="1:3" x14ac:dyDescent="0.3">
      <c r="A15" t="s">
        <v>13</v>
      </c>
      <c r="B15">
        <v>4</v>
      </c>
      <c r="C15">
        <v>113.4239612268519</v>
      </c>
    </row>
    <row r="16" spans="1:3" x14ac:dyDescent="0.3">
      <c r="A16" t="s">
        <v>13</v>
      </c>
      <c r="B16">
        <v>5</v>
      </c>
      <c r="C16">
        <v>113.4239612268519</v>
      </c>
    </row>
    <row r="17" spans="1:3" x14ac:dyDescent="0.3">
      <c r="A17" t="s">
        <v>13</v>
      </c>
      <c r="B17">
        <v>6</v>
      </c>
      <c r="C17">
        <v>113.4239612268519</v>
      </c>
    </row>
    <row r="18" spans="1:3" x14ac:dyDescent="0.3">
      <c r="A18" t="s">
        <v>13</v>
      </c>
      <c r="B18">
        <v>7</v>
      </c>
      <c r="C18">
        <v>113.4239612268519</v>
      </c>
    </row>
    <row r="19" spans="1:3" x14ac:dyDescent="0.3">
      <c r="A19" t="s">
        <v>13</v>
      </c>
      <c r="B19">
        <v>8</v>
      </c>
      <c r="C19">
        <v>113.4239612268519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3"/>
  <sheetViews>
    <sheetView workbookViewId="0"/>
  </sheetViews>
  <sheetFormatPr defaultRowHeight="14.4" x14ac:dyDescent="0.3"/>
  <cols>
    <col min="6" max="6" width="12.6640625" customWidth="1"/>
  </cols>
  <sheetData>
    <row r="1" spans="1:6" x14ac:dyDescent="0.3">
      <c r="A1" t="s">
        <v>106</v>
      </c>
    </row>
    <row r="2" spans="1:6" x14ac:dyDescent="0.3">
      <c r="A2" t="s">
        <v>107</v>
      </c>
    </row>
    <row r="3" spans="1:6" x14ac:dyDescent="0.3">
      <c r="A3" t="s">
        <v>108</v>
      </c>
      <c r="B3" t="s">
        <v>109</v>
      </c>
    </row>
    <row r="4" spans="1:6" x14ac:dyDescent="0.3">
      <c r="A4" t="s">
        <v>12</v>
      </c>
      <c r="B4">
        <v>753</v>
      </c>
    </row>
    <row r="5" spans="1:6" x14ac:dyDescent="0.3">
      <c r="A5" t="s">
        <v>13</v>
      </c>
      <c r="B5">
        <v>177</v>
      </c>
    </row>
    <row r="13" spans="1:6" x14ac:dyDescent="0.3">
      <c r="F13" s="1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5"/>
  <sheetViews>
    <sheetView workbookViewId="0">
      <selection activeCell="K15" sqref="K15"/>
    </sheetView>
  </sheetViews>
  <sheetFormatPr defaultRowHeight="14.4" x14ac:dyDescent="0.3"/>
  <sheetData>
    <row r="1" spans="1:2" x14ac:dyDescent="0.3">
      <c r="A1" t="s">
        <v>110</v>
      </c>
    </row>
    <row r="2" spans="1:2" x14ac:dyDescent="0.3">
      <c r="A2" t="s">
        <v>111</v>
      </c>
    </row>
    <row r="3" spans="1:2" x14ac:dyDescent="0.3">
      <c r="A3" t="s">
        <v>112</v>
      </c>
      <c r="B3" t="s">
        <v>113</v>
      </c>
    </row>
    <row r="4" spans="1:2" x14ac:dyDescent="0.3">
      <c r="A4" t="s">
        <v>12</v>
      </c>
      <c r="B4">
        <v>0</v>
      </c>
    </row>
    <row r="5" spans="1:2" x14ac:dyDescent="0.3">
      <c r="A5" t="s">
        <v>13</v>
      </c>
      <c r="B5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Y145"/>
  <sheetViews>
    <sheetView workbookViewId="0">
      <selection activeCell="D1" sqref="D1:AI1048576"/>
    </sheetView>
  </sheetViews>
  <sheetFormatPr defaultRowHeight="14.4" x14ac:dyDescent="0.3"/>
  <cols>
    <col min="3" max="3" width="24.6640625" customWidth="1"/>
    <col min="4" max="4" width="12.6640625" bestFit="1" customWidth="1"/>
    <col min="6" max="6" width="16.33203125" bestFit="1" customWidth="1"/>
    <col min="7" max="7" width="12" bestFit="1" customWidth="1"/>
  </cols>
  <sheetData>
    <row r="1" spans="1:25" x14ac:dyDescent="0.3">
      <c r="A1" t="s">
        <v>114</v>
      </c>
    </row>
    <row r="2" spans="1:25" x14ac:dyDescent="0.3">
      <c r="A2" t="s">
        <v>115</v>
      </c>
    </row>
    <row r="3" spans="1:25" x14ac:dyDescent="0.3">
      <c r="A3" t="s">
        <v>16</v>
      </c>
      <c r="B3" t="s">
        <v>41</v>
      </c>
      <c r="C3" t="s">
        <v>116</v>
      </c>
    </row>
    <row r="4" spans="1:25" x14ac:dyDescent="0.3">
      <c r="A4" t="s">
        <v>23</v>
      </c>
      <c r="B4">
        <v>1</v>
      </c>
      <c r="C4" s="2">
        <v>494319.24903811602</v>
      </c>
      <c r="D4" s="2"/>
      <c r="R4" s="4"/>
      <c r="S4" s="4"/>
      <c r="T4" s="4"/>
      <c r="U4" s="4"/>
      <c r="V4" s="4"/>
      <c r="W4" s="4"/>
      <c r="X4" s="4"/>
      <c r="Y4" s="4"/>
    </row>
    <row r="5" spans="1:25" x14ac:dyDescent="0.3">
      <c r="A5" t="s">
        <v>22</v>
      </c>
      <c r="B5">
        <v>1</v>
      </c>
      <c r="C5" s="2">
        <v>1062786.3854319495</v>
      </c>
      <c r="D5" s="2"/>
      <c r="R5" s="4"/>
      <c r="S5" s="4"/>
      <c r="T5" s="4"/>
      <c r="U5" s="4"/>
      <c r="V5" s="4"/>
      <c r="W5" s="4"/>
      <c r="X5" s="4"/>
      <c r="Y5" s="4"/>
    </row>
    <row r="6" spans="1:25" x14ac:dyDescent="0.3">
      <c r="A6" t="s">
        <v>34</v>
      </c>
      <c r="B6">
        <v>1</v>
      </c>
      <c r="C6" s="2">
        <v>386804.8123723258</v>
      </c>
      <c r="D6" s="2"/>
      <c r="R6" s="4"/>
      <c r="S6" s="4"/>
      <c r="T6" s="4"/>
      <c r="U6" s="4"/>
      <c r="V6" s="4"/>
      <c r="W6" s="4"/>
      <c r="X6" s="4"/>
      <c r="Y6" s="4"/>
    </row>
    <row r="7" spans="1:25" x14ac:dyDescent="0.3">
      <c r="A7" t="s">
        <v>27</v>
      </c>
      <c r="B7">
        <v>1</v>
      </c>
      <c r="C7" s="2">
        <v>222443.66206715218</v>
      </c>
      <c r="D7" s="2"/>
      <c r="R7" s="4"/>
      <c r="S7" s="4"/>
      <c r="T7" s="4"/>
      <c r="U7" s="4"/>
      <c r="V7" s="4"/>
      <c r="W7" s="4"/>
      <c r="X7" s="4"/>
      <c r="Y7" s="4"/>
    </row>
    <row r="8" spans="1:25" x14ac:dyDescent="0.3">
      <c r="A8" t="s">
        <v>72</v>
      </c>
      <c r="B8">
        <v>1</v>
      </c>
      <c r="C8" s="2">
        <v>43252.934290835146</v>
      </c>
      <c r="D8" s="2"/>
      <c r="R8" s="4"/>
      <c r="S8" s="4"/>
      <c r="T8" s="4"/>
      <c r="U8" s="4"/>
      <c r="V8" s="4"/>
      <c r="W8" s="4"/>
      <c r="X8" s="4"/>
      <c r="Y8" s="4"/>
    </row>
    <row r="9" spans="1:25" x14ac:dyDescent="0.3">
      <c r="A9" t="s">
        <v>19</v>
      </c>
      <c r="B9">
        <v>1</v>
      </c>
      <c r="C9" s="2">
        <v>1259525.4465491199</v>
      </c>
      <c r="D9" s="2"/>
      <c r="R9" s="4"/>
      <c r="S9" s="4"/>
      <c r="T9" s="4"/>
      <c r="U9" s="4"/>
      <c r="V9" s="4"/>
      <c r="W9" s="4"/>
      <c r="X9" s="4"/>
      <c r="Y9" s="4"/>
    </row>
    <row r="10" spans="1:25" x14ac:dyDescent="0.3">
      <c r="A10" t="s">
        <v>17</v>
      </c>
      <c r="B10">
        <v>1</v>
      </c>
      <c r="C10" s="2">
        <v>3089495.3064882252</v>
      </c>
      <c r="D10" s="2"/>
      <c r="R10" s="4"/>
      <c r="S10" s="4"/>
      <c r="T10" s="4"/>
      <c r="U10" s="4"/>
      <c r="V10" s="4"/>
      <c r="W10" s="4"/>
      <c r="X10" s="4"/>
      <c r="Y10" s="4"/>
    </row>
    <row r="11" spans="1:25" x14ac:dyDescent="0.3">
      <c r="A11" t="s">
        <v>24</v>
      </c>
      <c r="B11">
        <v>1</v>
      </c>
      <c r="C11" s="2">
        <v>1038070.4229800438</v>
      </c>
      <c r="D11" s="2"/>
      <c r="R11" s="4"/>
      <c r="S11" s="4"/>
      <c r="T11" s="4"/>
      <c r="U11" s="4"/>
      <c r="V11" s="4"/>
      <c r="W11" s="4"/>
      <c r="X11" s="4"/>
      <c r="Y11" s="4"/>
    </row>
    <row r="12" spans="1:25" x14ac:dyDescent="0.3">
      <c r="A12" t="s">
        <v>33</v>
      </c>
      <c r="B12">
        <v>1</v>
      </c>
      <c r="C12" s="2">
        <v>147059.97658883952</v>
      </c>
      <c r="D12" s="2"/>
      <c r="R12" s="4"/>
      <c r="S12" s="4"/>
      <c r="T12" s="4"/>
      <c r="U12" s="4"/>
      <c r="V12" s="4"/>
      <c r="W12" s="4"/>
      <c r="X12" s="4"/>
      <c r="Y12" s="4"/>
    </row>
    <row r="13" spans="1:25" x14ac:dyDescent="0.3">
      <c r="A13" t="s">
        <v>32</v>
      </c>
      <c r="B13">
        <v>1</v>
      </c>
      <c r="C13" s="2">
        <v>407813.38045644574</v>
      </c>
      <c r="D13" s="2"/>
      <c r="R13" s="4"/>
      <c r="S13" s="4"/>
      <c r="T13" s="4"/>
      <c r="U13" s="4"/>
      <c r="V13" s="4"/>
      <c r="W13" s="4"/>
      <c r="X13" s="4"/>
      <c r="Y13" s="4"/>
    </row>
    <row r="14" spans="1:25" x14ac:dyDescent="0.3">
      <c r="A14" t="s">
        <v>18</v>
      </c>
      <c r="B14">
        <v>1</v>
      </c>
      <c r="C14" s="2">
        <v>704404.92987931531</v>
      </c>
      <c r="D14" s="2"/>
      <c r="R14" s="4"/>
      <c r="S14" s="4"/>
      <c r="T14" s="4"/>
      <c r="U14" s="4"/>
      <c r="V14" s="4"/>
      <c r="W14" s="4"/>
      <c r="X14" s="4"/>
      <c r="Y14" s="4"/>
    </row>
    <row r="15" spans="1:25" x14ac:dyDescent="0.3">
      <c r="A15" t="s">
        <v>75</v>
      </c>
      <c r="B15">
        <v>1</v>
      </c>
      <c r="C15" s="2">
        <v>1082559.155393474</v>
      </c>
      <c r="D15" s="2"/>
      <c r="R15" s="4"/>
      <c r="S15" s="4"/>
      <c r="T15" s="4"/>
      <c r="U15" s="4"/>
      <c r="V15" s="4"/>
      <c r="W15" s="4"/>
      <c r="X15" s="4"/>
      <c r="Y15" s="4"/>
    </row>
    <row r="16" spans="1:25" x14ac:dyDescent="0.3">
      <c r="A16" t="s">
        <v>25</v>
      </c>
      <c r="B16">
        <v>1</v>
      </c>
      <c r="C16" s="2">
        <v>2842335.6819691677</v>
      </c>
      <c r="D16" s="2"/>
      <c r="R16" s="4"/>
      <c r="S16" s="4"/>
      <c r="T16" s="4"/>
      <c r="U16" s="4"/>
      <c r="V16" s="4"/>
      <c r="W16" s="4"/>
      <c r="X16" s="4"/>
      <c r="Y16" s="4"/>
    </row>
    <row r="17" spans="1:25" x14ac:dyDescent="0.3">
      <c r="A17" t="s">
        <v>21</v>
      </c>
      <c r="B17">
        <v>1</v>
      </c>
      <c r="C17" s="2">
        <v>2718755.8697096384</v>
      </c>
      <c r="D17" s="2"/>
      <c r="R17" s="4"/>
      <c r="S17" s="4"/>
      <c r="T17" s="4"/>
      <c r="U17" s="4"/>
      <c r="V17" s="4"/>
      <c r="W17" s="4"/>
      <c r="X17" s="4"/>
      <c r="Y17" s="4"/>
    </row>
    <row r="18" spans="1:25" x14ac:dyDescent="0.3">
      <c r="A18" t="s">
        <v>30</v>
      </c>
      <c r="B18">
        <v>1</v>
      </c>
      <c r="C18" s="2">
        <v>617899.06129764509</v>
      </c>
      <c r="D18" s="2"/>
      <c r="R18" s="4"/>
      <c r="S18" s="4"/>
      <c r="T18" s="4"/>
      <c r="U18" s="4"/>
      <c r="V18" s="4"/>
      <c r="W18" s="4"/>
      <c r="X18" s="4"/>
      <c r="Y18" s="4"/>
    </row>
    <row r="19" spans="1:25" x14ac:dyDescent="0.3">
      <c r="A19" t="s">
        <v>28</v>
      </c>
      <c r="B19">
        <v>1</v>
      </c>
      <c r="C19" s="2">
        <v>481961.26781216316</v>
      </c>
      <c r="D19" s="2"/>
      <c r="R19" s="4"/>
      <c r="S19" s="4"/>
      <c r="T19" s="4"/>
      <c r="U19" s="4"/>
      <c r="V19" s="4"/>
      <c r="W19" s="4"/>
      <c r="X19" s="4"/>
      <c r="Y19" s="4"/>
    </row>
    <row r="20" spans="1:25" x14ac:dyDescent="0.3">
      <c r="A20" t="s">
        <v>20</v>
      </c>
      <c r="B20">
        <v>1</v>
      </c>
      <c r="C20" s="2">
        <v>494319.24903811602</v>
      </c>
      <c r="D20" s="2"/>
      <c r="R20" s="4"/>
      <c r="S20" s="4"/>
      <c r="T20" s="4"/>
      <c r="U20" s="4"/>
      <c r="V20" s="4"/>
      <c r="W20" s="4"/>
      <c r="X20" s="4"/>
      <c r="Y20" s="4"/>
    </row>
    <row r="21" spans="1:25" x14ac:dyDescent="0.3">
      <c r="A21" t="s">
        <v>36</v>
      </c>
      <c r="B21">
        <v>1</v>
      </c>
      <c r="C21" s="2">
        <v>463424.29597323376</v>
      </c>
      <c r="D21" s="3"/>
      <c r="R21" s="4"/>
      <c r="S21" s="4"/>
      <c r="T21" s="4"/>
      <c r="U21" s="4"/>
      <c r="V21" s="4"/>
      <c r="W21" s="4"/>
      <c r="X21" s="4"/>
      <c r="Y21" s="4"/>
    </row>
    <row r="22" spans="1:25" x14ac:dyDescent="0.3">
      <c r="A22" t="s">
        <v>29</v>
      </c>
      <c r="B22">
        <v>1</v>
      </c>
      <c r="C22" s="2">
        <v>96392.253562432612</v>
      </c>
      <c r="D22" s="3"/>
      <c r="R22" s="4"/>
      <c r="S22" s="4"/>
      <c r="T22" s="4"/>
      <c r="U22" s="4"/>
      <c r="V22" s="4"/>
      <c r="W22" s="4"/>
      <c r="X22" s="4"/>
      <c r="Y22" s="4"/>
    </row>
    <row r="23" spans="1:25" x14ac:dyDescent="0.3">
      <c r="A23" t="s">
        <v>81</v>
      </c>
      <c r="B23">
        <v>1</v>
      </c>
      <c r="C23" s="2">
        <v>305899.58149528562</v>
      </c>
      <c r="D23" s="3"/>
      <c r="R23" s="4"/>
      <c r="S23" s="4"/>
      <c r="T23" s="4"/>
      <c r="U23" s="4"/>
      <c r="V23" s="4"/>
      <c r="W23" s="4"/>
      <c r="X23" s="4"/>
      <c r="Y23" s="4"/>
    </row>
    <row r="24" spans="1:25" x14ac:dyDescent="0.3">
      <c r="A24" t="str">
        <f>A4</f>
        <v>Austria</v>
      </c>
      <c r="B24">
        <f>B4+1</f>
        <v>2</v>
      </c>
      <c r="C24" s="2">
        <v>502424.28382579534</v>
      </c>
      <c r="S24" s="4"/>
    </row>
    <row r="25" spans="1:25" x14ac:dyDescent="0.3">
      <c r="A25" t="str">
        <f t="shared" ref="A25:A88" si="0">A5</f>
        <v>Belgium</v>
      </c>
      <c r="B25">
        <f t="shared" ref="B25:B88" si="1">B5+1</f>
        <v>2</v>
      </c>
      <c r="C25" s="2">
        <v>1080212.2102254601</v>
      </c>
    </row>
    <row r="26" spans="1:25" x14ac:dyDescent="0.3">
      <c r="A26" t="str">
        <f t="shared" si="0"/>
        <v>Bulgaria</v>
      </c>
      <c r="B26">
        <f t="shared" si="1"/>
        <v>2</v>
      </c>
      <c r="C26" s="2">
        <v>393147.0020936848</v>
      </c>
      <c r="F26" s="3"/>
    </row>
    <row r="27" spans="1:25" x14ac:dyDescent="0.3">
      <c r="A27" t="str">
        <f t="shared" si="0"/>
        <v>CzechR</v>
      </c>
      <c r="B27">
        <f t="shared" si="1"/>
        <v>2</v>
      </c>
      <c r="C27" s="2">
        <v>226090.92772160788</v>
      </c>
      <c r="F27" s="3"/>
    </row>
    <row r="28" spans="1:25" x14ac:dyDescent="0.3">
      <c r="A28" t="str">
        <f t="shared" si="0"/>
        <v>Estonia</v>
      </c>
      <c r="B28">
        <f t="shared" si="1"/>
        <v>2</v>
      </c>
      <c r="C28" s="2">
        <v>43962.124834757087</v>
      </c>
    </row>
    <row r="29" spans="1:25" x14ac:dyDescent="0.3">
      <c r="A29" t="str">
        <f t="shared" si="0"/>
        <v>France</v>
      </c>
      <c r="B29">
        <f t="shared" si="1"/>
        <v>2</v>
      </c>
      <c r="C29" s="2">
        <v>1280177.0751881266</v>
      </c>
    </row>
    <row r="30" spans="1:25" x14ac:dyDescent="0.3">
      <c r="A30" t="str">
        <f t="shared" si="0"/>
        <v>Germany</v>
      </c>
      <c r="B30">
        <f t="shared" si="1"/>
        <v>2</v>
      </c>
      <c r="C30" s="2">
        <v>3140151.7739112205</v>
      </c>
    </row>
    <row r="31" spans="1:25" x14ac:dyDescent="0.3">
      <c r="A31" t="str">
        <f t="shared" si="0"/>
        <v>GreatBrit.</v>
      </c>
      <c r="B31">
        <f t="shared" si="1"/>
        <v>2</v>
      </c>
      <c r="C31" s="2">
        <v>1055090.9960341703</v>
      </c>
    </row>
    <row r="32" spans="1:25" x14ac:dyDescent="0.3">
      <c r="A32" t="str">
        <f t="shared" si="0"/>
        <v>Greece</v>
      </c>
      <c r="B32">
        <f t="shared" si="1"/>
        <v>2</v>
      </c>
      <c r="C32" s="2">
        <v>149471.22443817413</v>
      </c>
    </row>
    <row r="33" spans="1:3" x14ac:dyDescent="0.3">
      <c r="A33" t="str">
        <f t="shared" si="0"/>
        <v>Hungary</v>
      </c>
      <c r="B33">
        <f t="shared" si="1"/>
        <v>2</v>
      </c>
      <c r="C33" s="2">
        <v>414500.03415628109</v>
      </c>
    </row>
    <row r="34" spans="1:3" x14ac:dyDescent="0.3">
      <c r="A34" t="str">
        <f t="shared" si="0"/>
        <v>Italy</v>
      </c>
      <c r="B34">
        <f t="shared" si="1"/>
        <v>2</v>
      </c>
      <c r="C34" s="2">
        <v>715954.60445175832</v>
      </c>
    </row>
    <row r="35" spans="1:3" x14ac:dyDescent="0.3">
      <c r="A35" t="str">
        <f t="shared" si="0"/>
        <v>Lithuania</v>
      </c>
      <c r="B35">
        <f t="shared" si="1"/>
        <v>2</v>
      </c>
      <c r="C35" s="2">
        <v>1100309.1815784913</v>
      </c>
    </row>
    <row r="36" spans="1:3" x14ac:dyDescent="0.3">
      <c r="A36" t="str">
        <f t="shared" si="0"/>
        <v>Netherlands</v>
      </c>
      <c r="B36">
        <f t="shared" si="1"/>
        <v>2</v>
      </c>
      <c r="C36" s="2">
        <v>2888939.6319983234</v>
      </c>
    </row>
    <row r="37" spans="1:3" x14ac:dyDescent="0.3">
      <c r="A37" t="str">
        <f t="shared" si="0"/>
        <v>Poland</v>
      </c>
      <c r="B37">
        <f t="shared" si="1"/>
        <v>2</v>
      </c>
      <c r="C37" s="2">
        <v>2763333.5610418743</v>
      </c>
    </row>
    <row r="38" spans="1:3" x14ac:dyDescent="0.3">
      <c r="A38" t="str">
        <f t="shared" si="0"/>
        <v>Romania</v>
      </c>
      <c r="B38">
        <f t="shared" si="1"/>
        <v>2</v>
      </c>
      <c r="C38" s="2">
        <v>628030.35478224407</v>
      </c>
    </row>
    <row r="39" spans="1:3" x14ac:dyDescent="0.3">
      <c r="A39" t="str">
        <f t="shared" si="0"/>
        <v>Slovakia</v>
      </c>
      <c r="B39">
        <f t="shared" si="1"/>
        <v>2</v>
      </c>
      <c r="C39" s="2">
        <v>489863.67673015047</v>
      </c>
    </row>
    <row r="40" spans="1:3" x14ac:dyDescent="0.3">
      <c r="A40" t="str">
        <f t="shared" si="0"/>
        <v>Spain</v>
      </c>
      <c r="B40">
        <f t="shared" si="1"/>
        <v>2</v>
      </c>
      <c r="C40" s="2">
        <v>502424.28382579534</v>
      </c>
    </row>
    <row r="41" spans="1:3" x14ac:dyDescent="0.3">
      <c r="A41" t="str">
        <f t="shared" si="0"/>
        <v>Croatia</v>
      </c>
      <c r="B41">
        <f t="shared" si="1"/>
        <v>2</v>
      </c>
      <c r="C41" s="2">
        <v>423920.48947801476</v>
      </c>
    </row>
    <row r="42" spans="1:3" x14ac:dyDescent="0.3">
      <c r="A42" t="str">
        <f t="shared" si="0"/>
        <v>Finland</v>
      </c>
      <c r="B42">
        <f t="shared" si="1"/>
        <v>2</v>
      </c>
      <c r="C42" s="2">
        <v>97972.73534603008</v>
      </c>
    </row>
    <row r="43" spans="1:3" x14ac:dyDescent="0.3">
      <c r="A43" t="str">
        <f t="shared" si="0"/>
        <v>NO5</v>
      </c>
      <c r="B43">
        <f t="shared" si="1"/>
        <v>2</v>
      </c>
      <c r="C43" s="2">
        <v>304379.59489724587</v>
      </c>
    </row>
    <row r="44" spans="1:3" x14ac:dyDescent="0.3">
      <c r="A44" t="str">
        <f t="shared" si="0"/>
        <v>Austria</v>
      </c>
      <c r="B44">
        <f t="shared" si="1"/>
        <v>3</v>
      </c>
      <c r="C44" s="2">
        <v>510662.21165585017</v>
      </c>
    </row>
    <row r="45" spans="1:3" x14ac:dyDescent="0.3">
      <c r="A45" t="str">
        <f t="shared" si="0"/>
        <v>Belgium</v>
      </c>
      <c r="B45">
        <f t="shared" si="1"/>
        <v>3</v>
      </c>
      <c r="C45" s="2">
        <v>1097923.7550600781</v>
      </c>
    </row>
    <row r="46" spans="1:3" x14ac:dyDescent="0.3">
      <c r="A46" t="str">
        <f t="shared" si="0"/>
        <v>Bulgaria</v>
      </c>
      <c r="B46">
        <f t="shared" si="1"/>
        <v>3</v>
      </c>
      <c r="C46" s="2">
        <v>399593.18062070274</v>
      </c>
    </row>
    <row r="47" spans="1:3" x14ac:dyDescent="0.3">
      <c r="A47" t="str">
        <f t="shared" si="0"/>
        <v>CzechR</v>
      </c>
      <c r="B47">
        <f t="shared" si="1"/>
        <v>3</v>
      </c>
      <c r="C47" s="2">
        <v>229797.99524513257</v>
      </c>
    </row>
    <row r="48" spans="1:3" x14ac:dyDescent="0.3">
      <c r="A48" t="str">
        <f t="shared" si="0"/>
        <v>Estonia</v>
      </c>
      <c r="B48">
        <f t="shared" si="1"/>
        <v>3</v>
      </c>
      <c r="C48" s="2">
        <v>44682.943519886881</v>
      </c>
    </row>
    <row r="49" spans="1:3" x14ac:dyDescent="0.3">
      <c r="A49" t="str">
        <f t="shared" si="0"/>
        <v>France</v>
      </c>
      <c r="B49">
        <f t="shared" si="1"/>
        <v>3</v>
      </c>
      <c r="C49" s="2">
        <v>1301167.3152991063</v>
      </c>
    </row>
    <row r="50" spans="1:3" x14ac:dyDescent="0.3">
      <c r="A50" t="str">
        <f t="shared" si="0"/>
        <v>Germany</v>
      </c>
      <c r="B50">
        <f t="shared" si="1"/>
        <v>3</v>
      </c>
      <c r="C50" s="2">
        <v>3191638.8228490632</v>
      </c>
    </row>
    <row r="51" spans="1:3" x14ac:dyDescent="0.3">
      <c r="A51" t="str">
        <f t="shared" si="0"/>
        <v>GreatBrit.</v>
      </c>
      <c r="B51">
        <f t="shared" si="1"/>
        <v>3</v>
      </c>
      <c r="C51" s="2">
        <v>1072390.6444772857</v>
      </c>
    </row>
    <row r="52" spans="1:3" x14ac:dyDescent="0.3">
      <c r="A52" t="str">
        <f t="shared" si="0"/>
        <v>Greece</v>
      </c>
      <c r="B52">
        <f t="shared" si="1"/>
        <v>3</v>
      </c>
      <c r="C52" s="2">
        <v>151922.00796761544</v>
      </c>
    </row>
    <row r="53" spans="1:3" x14ac:dyDescent="0.3">
      <c r="A53" t="str">
        <f t="shared" si="0"/>
        <v>Hungary</v>
      </c>
      <c r="B53">
        <f t="shared" si="1"/>
        <v>3</v>
      </c>
      <c r="C53" s="2">
        <v>421296.32461607637</v>
      </c>
    </row>
    <row r="54" spans="1:3" x14ac:dyDescent="0.3">
      <c r="A54" t="str">
        <f t="shared" si="0"/>
        <v>Italy</v>
      </c>
      <c r="B54">
        <f t="shared" si="1"/>
        <v>3</v>
      </c>
      <c r="C54" s="2">
        <v>727693.65160958644</v>
      </c>
    </row>
    <row r="55" spans="1:3" x14ac:dyDescent="0.3">
      <c r="A55" t="str">
        <f t="shared" si="0"/>
        <v>Lithuania</v>
      </c>
      <c r="B55">
        <f t="shared" si="1"/>
        <v>3</v>
      </c>
      <c r="C55" s="2">
        <v>1118350.2435263118</v>
      </c>
    </row>
    <row r="56" spans="1:3" x14ac:dyDescent="0.3">
      <c r="A56" t="str">
        <f t="shared" si="0"/>
        <v>Netherlands</v>
      </c>
      <c r="B56">
        <f t="shared" si="1"/>
        <v>3</v>
      </c>
      <c r="C56" s="2">
        <v>2936307.7170211389</v>
      </c>
    </row>
    <row r="57" spans="1:3" x14ac:dyDescent="0.3">
      <c r="A57" t="str">
        <f t="shared" si="0"/>
        <v>Poland</v>
      </c>
      <c r="B57">
        <f t="shared" si="1"/>
        <v>3</v>
      </c>
      <c r="C57" s="2">
        <v>2808642.164107176</v>
      </c>
    </row>
    <row r="58" spans="1:3" x14ac:dyDescent="0.3">
      <c r="A58" t="str">
        <f t="shared" si="0"/>
        <v>Romania</v>
      </c>
      <c r="B58">
        <f t="shared" si="1"/>
        <v>3</v>
      </c>
      <c r="C58" s="2">
        <v>638327.76456981269</v>
      </c>
    </row>
    <row r="59" spans="1:3" x14ac:dyDescent="0.3">
      <c r="A59" t="str">
        <f t="shared" si="0"/>
        <v>Slovakia</v>
      </c>
      <c r="B59">
        <f t="shared" si="1"/>
        <v>3</v>
      </c>
      <c r="C59" s="2">
        <v>497895.65636445396</v>
      </c>
    </row>
    <row r="60" spans="1:3" x14ac:dyDescent="0.3">
      <c r="A60" t="str">
        <f t="shared" si="0"/>
        <v>Spain</v>
      </c>
      <c r="B60">
        <f t="shared" si="1"/>
        <v>3</v>
      </c>
      <c r="C60" s="2">
        <v>510662.21165585017</v>
      </c>
    </row>
    <row r="61" spans="1:3" x14ac:dyDescent="0.3">
      <c r="A61" t="str">
        <f t="shared" si="0"/>
        <v>Croatia</v>
      </c>
      <c r="B61">
        <f t="shared" si="1"/>
        <v>3</v>
      </c>
      <c r="C61" s="2">
        <v>387784.1169761612</v>
      </c>
    </row>
    <row r="62" spans="1:3" x14ac:dyDescent="0.3">
      <c r="A62" t="str">
        <f t="shared" si="0"/>
        <v>Finland</v>
      </c>
      <c r="B62">
        <f t="shared" si="1"/>
        <v>3</v>
      </c>
      <c r="C62" s="2">
        <v>99579.13127289078</v>
      </c>
    </row>
    <row r="63" spans="1:3" x14ac:dyDescent="0.3">
      <c r="A63" t="str">
        <f t="shared" si="0"/>
        <v>NO5</v>
      </c>
      <c r="B63">
        <f t="shared" si="1"/>
        <v>3</v>
      </c>
      <c r="C63" s="2">
        <v>282685.08602046152</v>
      </c>
    </row>
    <row r="64" spans="1:3" x14ac:dyDescent="0.3">
      <c r="A64" t="str">
        <f t="shared" si="0"/>
        <v>Austria</v>
      </c>
      <c r="B64">
        <f t="shared" si="1"/>
        <v>4</v>
      </c>
      <c r="C64" s="2">
        <v>511934.10746302688</v>
      </c>
    </row>
    <row r="65" spans="1:3" x14ac:dyDescent="0.3">
      <c r="A65" t="str">
        <f t="shared" si="0"/>
        <v>Belgium</v>
      </c>
      <c r="B65">
        <f t="shared" si="1"/>
        <v>4</v>
      </c>
      <c r="C65" s="2">
        <v>1100658.3310455079</v>
      </c>
    </row>
    <row r="66" spans="1:3" x14ac:dyDescent="0.3">
      <c r="A66" t="str">
        <f t="shared" si="0"/>
        <v>Bulgaria</v>
      </c>
      <c r="B66">
        <f t="shared" si="1"/>
        <v>4</v>
      </c>
      <c r="C66" s="2">
        <v>400588.43908981851</v>
      </c>
    </row>
    <row r="67" spans="1:3" x14ac:dyDescent="0.3">
      <c r="A67" t="str">
        <f t="shared" si="0"/>
        <v>CzechR</v>
      </c>
      <c r="B67">
        <f t="shared" si="1"/>
        <v>4</v>
      </c>
      <c r="C67" s="2">
        <v>230370.3483583621</v>
      </c>
    </row>
    <row r="68" spans="1:3" x14ac:dyDescent="0.3">
      <c r="A68" t="str">
        <f t="shared" si="0"/>
        <v>Estonia</v>
      </c>
      <c r="B68">
        <f t="shared" si="1"/>
        <v>4</v>
      </c>
      <c r="C68" s="2">
        <v>44794.234403014845</v>
      </c>
    </row>
    <row r="69" spans="1:3" x14ac:dyDescent="0.3">
      <c r="A69" t="str">
        <f t="shared" si="0"/>
        <v>France</v>
      </c>
      <c r="B69">
        <f t="shared" si="1"/>
        <v>4</v>
      </c>
      <c r="C69" s="2">
        <v>1304408.1058157927</v>
      </c>
    </row>
    <row r="70" spans="1:3" x14ac:dyDescent="0.3">
      <c r="A70" t="str">
        <f t="shared" si="0"/>
        <v>Germany</v>
      </c>
      <c r="B70">
        <f t="shared" si="1"/>
        <v>4</v>
      </c>
      <c r="C70" s="2">
        <v>3199588.1716439174</v>
      </c>
    </row>
    <row r="71" spans="1:3" x14ac:dyDescent="0.3">
      <c r="A71" t="str">
        <f t="shared" si="0"/>
        <v>GreatBrit.</v>
      </c>
      <c r="B71">
        <f t="shared" si="1"/>
        <v>4</v>
      </c>
      <c r="C71" s="2">
        <v>1075061.6256723567</v>
      </c>
    </row>
    <row r="72" spans="1:3" x14ac:dyDescent="0.3">
      <c r="A72" t="str">
        <f t="shared" si="0"/>
        <v>Greece</v>
      </c>
      <c r="B72">
        <f t="shared" si="1"/>
        <v>4</v>
      </c>
      <c r="C72" s="2">
        <v>152300.3969702505</v>
      </c>
    </row>
    <row r="73" spans="1:3" x14ac:dyDescent="0.3">
      <c r="A73" t="str">
        <f t="shared" si="0"/>
        <v>Hungary</v>
      </c>
      <c r="B73">
        <f t="shared" si="1"/>
        <v>4</v>
      </c>
      <c r="C73" s="2">
        <v>422345.63865699718</v>
      </c>
    </row>
    <row r="74" spans="1:3" x14ac:dyDescent="0.3">
      <c r="A74" t="str">
        <f t="shared" si="0"/>
        <v>Italy</v>
      </c>
      <c r="B74">
        <f t="shared" si="1"/>
        <v>4</v>
      </c>
      <c r="C74" s="2">
        <v>729506.10313481337</v>
      </c>
    </row>
    <row r="75" spans="1:3" x14ac:dyDescent="0.3">
      <c r="A75" t="str">
        <f t="shared" si="0"/>
        <v>Lithuania</v>
      </c>
      <c r="B75">
        <f t="shared" si="1"/>
        <v>4</v>
      </c>
      <c r="C75" s="2">
        <v>1121135.6953440285</v>
      </c>
    </row>
    <row r="76" spans="1:3" x14ac:dyDescent="0.3">
      <c r="A76" t="str">
        <f t="shared" si="0"/>
        <v>Netherlands</v>
      </c>
      <c r="B76">
        <f t="shared" si="1"/>
        <v>4</v>
      </c>
      <c r="C76" s="2">
        <v>2943621.1179124052</v>
      </c>
    </row>
    <row r="77" spans="1:3" x14ac:dyDescent="0.3">
      <c r="A77" t="str">
        <f t="shared" si="0"/>
        <v>Poland</v>
      </c>
      <c r="B77">
        <f t="shared" si="1"/>
        <v>4</v>
      </c>
      <c r="C77" s="2">
        <v>2815637.5910466481</v>
      </c>
    </row>
    <row r="78" spans="1:3" x14ac:dyDescent="0.3">
      <c r="A78" t="str">
        <f t="shared" si="0"/>
        <v>Romania</v>
      </c>
      <c r="B78">
        <f t="shared" si="1"/>
        <v>4</v>
      </c>
      <c r="C78" s="2">
        <v>639917.63432878349</v>
      </c>
    </row>
    <row r="79" spans="1:3" x14ac:dyDescent="0.3">
      <c r="A79" t="str">
        <f t="shared" si="0"/>
        <v>Slovakia</v>
      </c>
      <c r="B79">
        <f t="shared" si="1"/>
        <v>4</v>
      </c>
      <c r="C79" s="2">
        <v>499135.75477645121</v>
      </c>
    </row>
    <row r="80" spans="1:3" x14ac:dyDescent="0.3">
      <c r="A80" t="str">
        <f t="shared" si="0"/>
        <v>Spain</v>
      </c>
      <c r="B80">
        <f t="shared" si="1"/>
        <v>4</v>
      </c>
      <c r="C80" s="2">
        <v>511934.10746302688</v>
      </c>
    </row>
    <row r="81" spans="1:3" x14ac:dyDescent="0.3">
      <c r="A81" t="str">
        <f t="shared" si="0"/>
        <v>Croatia</v>
      </c>
      <c r="B81">
        <f t="shared" si="1"/>
        <v>4</v>
      </c>
      <c r="C81" s="2">
        <v>349874.96656926244</v>
      </c>
    </row>
    <row r="82" spans="1:3" x14ac:dyDescent="0.3">
      <c r="A82" t="str">
        <f t="shared" si="0"/>
        <v>Finland</v>
      </c>
      <c r="B82">
        <f t="shared" si="1"/>
        <v>4</v>
      </c>
      <c r="C82" s="2">
        <v>99827.150955290243</v>
      </c>
    </row>
    <row r="83" spans="1:3" x14ac:dyDescent="0.3">
      <c r="A83" t="str">
        <f t="shared" si="0"/>
        <v>NO5</v>
      </c>
      <c r="B83">
        <f t="shared" si="1"/>
        <v>4</v>
      </c>
      <c r="C83" s="2">
        <v>278295.56912104605</v>
      </c>
    </row>
    <row r="84" spans="1:3" x14ac:dyDescent="0.3">
      <c r="A84" t="str">
        <f t="shared" si="0"/>
        <v>Austria</v>
      </c>
      <c r="B84">
        <f t="shared" si="1"/>
        <v>5</v>
      </c>
      <c r="C84" s="2">
        <v>513209.17115478049</v>
      </c>
    </row>
    <row r="85" spans="1:3" x14ac:dyDescent="0.3">
      <c r="A85" t="str">
        <f t="shared" si="0"/>
        <v>Belgium</v>
      </c>
      <c r="B85">
        <f t="shared" si="1"/>
        <v>5</v>
      </c>
      <c r="C85" s="2">
        <v>1103399.7179827783</v>
      </c>
    </row>
    <row r="86" spans="1:3" x14ac:dyDescent="0.3">
      <c r="A86" t="str">
        <f t="shared" si="0"/>
        <v>Bulgaria</v>
      </c>
      <c r="B86">
        <f t="shared" si="1"/>
        <v>5</v>
      </c>
      <c r="C86" s="2">
        <v>401586.1764286157</v>
      </c>
    </row>
    <row r="87" spans="1:3" x14ac:dyDescent="0.3">
      <c r="A87" t="str">
        <f t="shared" si="0"/>
        <v>CzechR</v>
      </c>
      <c r="B87">
        <f t="shared" si="1"/>
        <v>5</v>
      </c>
      <c r="C87" s="2">
        <v>230944.12701965121</v>
      </c>
    </row>
    <row r="88" spans="1:3" x14ac:dyDescent="0.3">
      <c r="A88" t="str">
        <f t="shared" si="0"/>
        <v>Estonia</v>
      </c>
      <c r="B88">
        <f t="shared" si="1"/>
        <v>5</v>
      </c>
      <c r="C88" s="2">
        <v>44905.802476043289</v>
      </c>
    </row>
    <row r="89" spans="1:3" x14ac:dyDescent="0.3">
      <c r="A89" t="str">
        <f t="shared" ref="A89:A142" si="2">A69</f>
        <v>France</v>
      </c>
      <c r="B89">
        <f t="shared" ref="B89:B142" si="3">B69+1</f>
        <v>5</v>
      </c>
      <c r="C89" s="2">
        <v>1255350.6893782855</v>
      </c>
    </row>
    <row r="90" spans="1:3" x14ac:dyDescent="0.3">
      <c r="A90" t="str">
        <f t="shared" si="2"/>
        <v>Germany</v>
      </c>
      <c r="B90">
        <f t="shared" si="3"/>
        <v>5</v>
      </c>
      <c r="C90" s="2">
        <v>3207557.3197173774</v>
      </c>
    </row>
    <row r="91" spans="1:3" x14ac:dyDescent="0.3">
      <c r="A91" t="str">
        <f t="shared" si="2"/>
        <v>GreatBrit.</v>
      </c>
      <c r="B91">
        <f t="shared" si="3"/>
        <v>5</v>
      </c>
      <c r="C91" s="2">
        <v>1077739.2594250394</v>
      </c>
    </row>
    <row r="92" spans="1:3" x14ac:dyDescent="0.3">
      <c r="A92" t="str">
        <f t="shared" si="2"/>
        <v>Greece</v>
      </c>
      <c r="B92">
        <f t="shared" si="3"/>
        <v>5</v>
      </c>
      <c r="C92" s="2">
        <v>152679.72841854719</v>
      </c>
    </row>
    <row r="93" spans="1:3" x14ac:dyDescent="0.3">
      <c r="A93" t="str">
        <f t="shared" si="2"/>
        <v>Hungary</v>
      </c>
      <c r="B93">
        <f t="shared" si="3"/>
        <v>5</v>
      </c>
      <c r="C93" s="2">
        <v>423397.56620269391</v>
      </c>
    </row>
    <row r="94" spans="1:3" x14ac:dyDescent="0.3">
      <c r="A94" t="str">
        <f t="shared" si="2"/>
        <v>Italy</v>
      </c>
      <c r="B94">
        <f t="shared" si="3"/>
        <v>5</v>
      </c>
      <c r="C94" s="2">
        <v>731323.0688955622</v>
      </c>
    </row>
    <row r="95" spans="1:3" x14ac:dyDescent="0.3">
      <c r="A95" t="str">
        <f t="shared" si="2"/>
        <v>Lithuania</v>
      </c>
      <c r="B95">
        <f t="shared" si="3"/>
        <v>5</v>
      </c>
      <c r="C95" s="2">
        <v>1123928.0848289691</v>
      </c>
    </row>
    <row r="96" spans="1:3" x14ac:dyDescent="0.3">
      <c r="A96" t="str">
        <f t="shared" si="2"/>
        <v>Netherlands</v>
      </c>
      <c r="B96">
        <f t="shared" si="3"/>
        <v>5</v>
      </c>
      <c r="C96" s="2">
        <v>2950952.7341399887</v>
      </c>
    </row>
    <row r="97" spans="1:3" x14ac:dyDescent="0.3">
      <c r="A97" t="str">
        <f t="shared" si="2"/>
        <v>Poland</v>
      </c>
      <c r="B97">
        <f t="shared" si="3"/>
        <v>5</v>
      </c>
      <c r="C97" s="2">
        <v>2822650.4413512931</v>
      </c>
    </row>
    <row r="98" spans="1:3" x14ac:dyDescent="0.3">
      <c r="A98" t="str">
        <f t="shared" si="2"/>
        <v>Romania</v>
      </c>
      <c r="B98">
        <f t="shared" si="3"/>
        <v>5</v>
      </c>
      <c r="C98" s="2">
        <v>641511.46394347551</v>
      </c>
    </row>
    <row r="99" spans="1:3" x14ac:dyDescent="0.3">
      <c r="A99" t="str">
        <f t="shared" si="2"/>
        <v>Slovakia</v>
      </c>
      <c r="B99">
        <f t="shared" si="3"/>
        <v>5</v>
      </c>
      <c r="C99" s="2">
        <v>500378.94187591097</v>
      </c>
    </row>
    <row r="100" spans="1:3" x14ac:dyDescent="0.3">
      <c r="A100" t="str">
        <f t="shared" si="2"/>
        <v>Spain</v>
      </c>
      <c r="B100">
        <f t="shared" si="3"/>
        <v>5</v>
      </c>
      <c r="C100" s="2">
        <v>513209.17115478049</v>
      </c>
    </row>
    <row r="101" spans="1:3" x14ac:dyDescent="0.3">
      <c r="A101" t="str">
        <f t="shared" si="2"/>
        <v>Croatia</v>
      </c>
      <c r="B101">
        <f t="shared" si="3"/>
        <v>5</v>
      </c>
      <c r="C101" s="2">
        <v>350746.39291109523</v>
      </c>
    </row>
    <row r="102" spans="1:3" x14ac:dyDescent="0.3">
      <c r="A102" t="str">
        <f t="shared" si="2"/>
        <v>Finland</v>
      </c>
      <c r="B102">
        <f t="shared" si="3"/>
        <v>5</v>
      </c>
      <c r="C102" s="2">
        <v>100075.78837518218</v>
      </c>
    </row>
    <row r="103" spans="1:3" x14ac:dyDescent="0.3">
      <c r="A103" t="str">
        <f t="shared" si="2"/>
        <v>NO5</v>
      </c>
      <c r="B103">
        <f t="shared" si="3"/>
        <v>5</v>
      </c>
      <c r="C103" s="2">
        <v>272869.46140130766</v>
      </c>
    </row>
    <row r="104" spans="1:3" x14ac:dyDescent="0.3">
      <c r="A104" t="str">
        <f t="shared" si="2"/>
        <v>Austria</v>
      </c>
      <c r="B104">
        <f t="shared" si="3"/>
        <v>6</v>
      </c>
      <c r="C104" s="2">
        <v>514487.41062129557</v>
      </c>
    </row>
    <row r="105" spans="1:3" x14ac:dyDescent="0.3">
      <c r="A105" t="str">
        <f t="shared" si="2"/>
        <v>Belgium</v>
      </c>
      <c r="B105">
        <f t="shared" si="3"/>
        <v>6</v>
      </c>
      <c r="C105" s="2">
        <v>1106147.9328357859</v>
      </c>
    </row>
    <row r="106" spans="1:3" x14ac:dyDescent="0.3">
      <c r="A106" t="str">
        <f t="shared" si="2"/>
        <v>Bulgaria</v>
      </c>
      <c r="B106">
        <f t="shared" si="3"/>
        <v>6</v>
      </c>
      <c r="C106" s="2">
        <v>402586.39881116379</v>
      </c>
    </row>
    <row r="107" spans="1:3" x14ac:dyDescent="0.3">
      <c r="A107" t="str">
        <f t="shared" si="2"/>
        <v>CzechR</v>
      </c>
      <c r="B107">
        <f t="shared" si="3"/>
        <v>6</v>
      </c>
      <c r="C107" s="2">
        <v>231519.33477958301</v>
      </c>
    </row>
    <row r="108" spans="1:3" x14ac:dyDescent="0.3">
      <c r="A108" t="str">
        <f t="shared" si="2"/>
        <v>Estonia</v>
      </c>
      <c r="B108">
        <f t="shared" si="3"/>
        <v>6</v>
      </c>
      <c r="C108" s="2">
        <v>45017.648429363362</v>
      </c>
    </row>
    <row r="109" spans="1:3" x14ac:dyDescent="0.3">
      <c r="A109" t="str">
        <f t="shared" si="2"/>
        <v>France</v>
      </c>
      <c r="B109">
        <f t="shared" si="3"/>
        <v>6</v>
      </c>
      <c r="C109" s="2">
        <v>1208138.2707576372</v>
      </c>
    </row>
    <row r="110" spans="1:3" x14ac:dyDescent="0.3">
      <c r="A110" t="str">
        <f t="shared" si="2"/>
        <v>Germany</v>
      </c>
      <c r="B110">
        <f t="shared" si="3"/>
        <v>6</v>
      </c>
      <c r="C110" s="2">
        <v>3215546.3163830969</v>
      </c>
    </row>
    <row r="111" spans="1:3" x14ac:dyDescent="0.3">
      <c r="A111" t="str">
        <f t="shared" si="2"/>
        <v>GreatBrit.</v>
      </c>
      <c r="B111">
        <f t="shared" si="3"/>
        <v>6</v>
      </c>
      <c r="C111" s="2">
        <v>1080423.5623047212</v>
      </c>
    </row>
    <row r="112" spans="1:3" x14ac:dyDescent="0.3">
      <c r="A112" t="str">
        <f t="shared" si="2"/>
        <v>Greece</v>
      </c>
      <c r="B112">
        <f t="shared" si="3"/>
        <v>6</v>
      </c>
      <c r="C112" s="2">
        <v>153060.00465983545</v>
      </c>
    </row>
    <row r="113" spans="1:3" x14ac:dyDescent="0.3">
      <c r="A113" t="str">
        <f t="shared" si="2"/>
        <v>Hungary</v>
      </c>
      <c r="B113">
        <f t="shared" si="3"/>
        <v>6</v>
      </c>
      <c r="C113" s="2">
        <v>424452.11376256886</v>
      </c>
    </row>
    <row r="114" spans="1:3" x14ac:dyDescent="0.3">
      <c r="A114" t="str">
        <f t="shared" si="2"/>
        <v>Italy</v>
      </c>
      <c r="B114">
        <f t="shared" si="3"/>
        <v>6</v>
      </c>
      <c r="C114" s="2">
        <v>733144.56013534614</v>
      </c>
    </row>
    <row r="115" spans="1:3" x14ac:dyDescent="0.3">
      <c r="A115" t="str">
        <f t="shared" si="2"/>
        <v>Lithuania</v>
      </c>
      <c r="B115">
        <f t="shared" si="3"/>
        <v>6</v>
      </c>
      <c r="C115" s="2">
        <v>1126727.4292606371</v>
      </c>
    </row>
    <row r="116" spans="1:3" x14ac:dyDescent="0.3">
      <c r="A116" t="str">
        <f t="shared" si="2"/>
        <v>Netherlands</v>
      </c>
      <c r="B116">
        <f t="shared" si="3"/>
        <v>6</v>
      </c>
      <c r="C116" s="2">
        <v>2958302.6110724504</v>
      </c>
    </row>
    <row r="117" spans="1:3" x14ac:dyDescent="0.3">
      <c r="A117" t="str">
        <f t="shared" si="2"/>
        <v>Poland</v>
      </c>
      <c r="B117">
        <f t="shared" si="3"/>
        <v>6</v>
      </c>
      <c r="C117" s="2">
        <v>2829680.7584171263</v>
      </c>
    </row>
    <row r="118" spans="1:3" x14ac:dyDescent="0.3">
      <c r="A118" t="str">
        <f t="shared" si="2"/>
        <v>Romania</v>
      </c>
      <c r="B118">
        <f t="shared" si="3"/>
        <v>6</v>
      </c>
      <c r="C118" s="2">
        <v>643109.26327661937</v>
      </c>
    </row>
    <row r="119" spans="1:3" x14ac:dyDescent="0.3">
      <c r="A119" t="str">
        <f t="shared" si="2"/>
        <v>Slovakia</v>
      </c>
      <c r="B119">
        <f t="shared" si="3"/>
        <v>6</v>
      </c>
      <c r="C119" s="2">
        <v>501625.22535576316</v>
      </c>
    </row>
    <row r="120" spans="1:3" x14ac:dyDescent="0.3">
      <c r="A120" t="str">
        <f t="shared" si="2"/>
        <v>Spain</v>
      </c>
      <c r="B120">
        <f t="shared" si="3"/>
        <v>6</v>
      </c>
      <c r="C120" s="2">
        <v>514487.41062129557</v>
      </c>
    </row>
    <row r="121" spans="1:3" x14ac:dyDescent="0.3">
      <c r="A121" t="str">
        <f t="shared" si="2"/>
        <v>Croatia</v>
      </c>
      <c r="B121">
        <f t="shared" si="3"/>
        <v>6</v>
      </c>
      <c r="C121" s="2">
        <v>351619.98969649163</v>
      </c>
    </row>
    <row r="122" spans="1:3" x14ac:dyDescent="0.3">
      <c r="A122" t="str">
        <f t="shared" si="2"/>
        <v>Finland</v>
      </c>
      <c r="B122">
        <f t="shared" si="3"/>
        <v>6</v>
      </c>
      <c r="C122" s="2">
        <v>100325.04507115264</v>
      </c>
    </row>
    <row r="123" spans="1:3" x14ac:dyDescent="0.3">
      <c r="A123" t="str">
        <f t="shared" si="2"/>
        <v>NO5</v>
      </c>
      <c r="B123">
        <f t="shared" si="3"/>
        <v>6</v>
      </c>
      <c r="C123" s="2">
        <v>267443.35368156916</v>
      </c>
    </row>
    <row r="124" spans="1:3" x14ac:dyDescent="0.3">
      <c r="A124" t="str">
        <f t="shared" si="2"/>
        <v>Austria</v>
      </c>
      <c r="B124">
        <f t="shared" si="3"/>
        <v>7</v>
      </c>
      <c r="C124" s="2">
        <v>515768.83377240872</v>
      </c>
    </row>
    <row r="125" spans="1:3" x14ac:dyDescent="0.3">
      <c r="A125" t="str">
        <f t="shared" si="2"/>
        <v>Belgium</v>
      </c>
      <c r="B125">
        <f t="shared" si="3"/>
        <v>7</v>
      </c>
      <c r="C125" s="2">
        <v>1108902.992610679</v>
      </c>
    </row>
    <row r="126" spans="1:3" x14ac:dyDescent="0.3">
      <c r="A126" t="str">
        <f t="shared" si="2"/>
        <v>Bulgaria</v>
      </c>
      <c r="B126">
        <f t="shared" si="3"/>
        <v>7</v>
      </c>
      <c r="C126" s="2">
        <v>403589.11242690979</v>
      </c>
    </row>
    <row r="127" spans="1:3" x14ac:dyDescent="0.3">
      <c r="A127" t="str">
        <f t="shared" si="2"/>
        <v>CzechR</v>
      </c>
      <c r="B127">
        <f t="shared" si="3"/>
        <v>7</v>
      </c>
      <c r="C127" s="2">
        <v>232095.9751975839</v>
      </c>
    </row>
    <row r="128" spans="1:3" x14ac:dyDescent="0.3">
      <c r="A128" t="str">
        <f t="shared" si="2"/>
        <v>Estonia</v>
      </c>
      <c r="B128">
        <f t="shared" si="3"/>
        <v>7</v>
      </c>
      <c r="C128" s="2">
        <v>45129.772955085755</v>
      </c>
    </row>
    <row r="129" spans="1:3" x14ac:dyDescent="0.3">
      <c r="A129" t="str">
        <f t="shared" si="2"/>
        <v>France</v>
      </c>
      <c r="B129">
        <f t="shared" si="3"/>
        <v>7</v>
      </c>
      <c r="C129" s="2">
        <v>1162701.4615271548</v>
      </c>
    </row>
    <row r="130" spans="1:3" x14ac:dyDescent="0.3">
      <c r="A130" t="str">
        <f t="shared" si="2"/>
        <v>Germany</v>
      </c>
      <c r="B130">
        <f t="shared" si="3"/>
        <v>7</v>
      </c>
      <c r="C130" s="2">
        <v>3223555.2110775537</v>
      </c>
    </row>
    <row r="131" spans="1:3" x14ac:dyDescent="0.3">
      <c r="A131" t="str">
        <f t="shared" si="2"/>
        <v>GreatBrit.</v>
      </c>
      <c r="B131">
        <f t="shared" si="3"/>
        <v>7</v>
      </c>
      <c r="C131" s="2">
        <v>1083114.5509220588</v>
      </c>
    </row>
    <row r="132" spans="1:3" x14ac:dyDescent="0.3">
      <c r="A132" t="str">
        <f t="shared" si="2"/>
        <v>Greece</v>
      </c>
      <c r="B132">
        <f t="shared" si="3"/>
        <v>7</v>
      </c>
      <c r="C132" s="2">
        <v>153441.22804729157</v>
      </c>
    </row>
    <row r="133" spans="1:3" x14ac:dyDescent="0.3">
      <c r="A133" t="str">
        <f t="shared" si="2"/>
        <v>Hungary</v>
      </c>
      <c r="B133">
        <f t="shared" si="3"/>
        <v>7</v>
      </c>
      <c r="C133" s="2">
        <v>425509.28786223714</v>
      </c>
    </row>
    <row r="134" spans="1:3" x14ac:dyDescent="0.3">
      <c r="A134" t="str">
        <f t="shared" si="2"/>
        <v>Italy</v>
      </c>
      <c r="B134">
        <f t="shared" si="3"/>
        <v>7</v>
      </c>
      <c r="C134" s="2">
        <v>734970.58812568232</v>
      </c>
    </row>
    <row r="135" spans="1:3" x14ac:dyDescent="0.3">
      <c r="A135" t="str">
        <f t="shared" si="2"/>
        <v>Lithuania</v>
      </c>
      <c r="B135">
        <f t="shared" si="3"/>
        <v>7</v>
      </c>
      <c r="C135" s="2">
        <v>1129533.7459615748</v>
      </c>
    </row>
    <row r="136" spans="1:3" x14ac:dyDescent="0.3">
      <c r="A136" t="str">
        <f t="shared" si="2"/>
        <v>Netherlands</v>
      </c>
      <c r="B136">
        <f t="shared" si="3"/>
        <v>7</v>
      </c>
      <c r="C136" s="2">
        <v>2965670.7941913507</v>
      </c>
    </row>
    <row r="137" spans="1:3" x14ac:dyDescent="0.3">
      <c r="A137" t="str">
        <f t="shared" si="2"/>
        <v>Poland</v>
      </c>
      <c r="B137">
        <f t="shared" si="3"/>
        <v>7</v>
      </c>
      <c r="C137" s="2">
        <v>2836728.5857482478</v>
      </c>
    </row>
    <row r="138" spans="1:3" x14ac:dyDescent="0.3">
      <c r="A138" t="str">
        <f t="shared" si="2"/>
        <v>Romania</v>
      </c>
      <c r="B138">
        <f t="shared" si="3"/>
        <v>7</v>
      </c>
      <c r="C138" s="2">
        <v>644711.04221551074</v>
      </c>
    </row>
    <row r="139" spans="1:3" x14ac:dyDescent="0.3">
      <c r="A139" t="str">
        <f t="shared" si="2"/>
        <v>Slovakia</v>
      </c>
      <c r="B139">
        <f t="shared" si="3"/>
        <v>7</v>
      </c>
      <c r="C139" s="2">
        <v>502874.61292809842</v>
      </c>
    </row>
    <row r="140" spans="1:3" x14ac:dyDescent="0.3">
      <c r="A140" t="str">
        <f t="shared" si="2"/>
        <v>Spain</v>
      </c>
      <c r="B140">
        <f t="shared" si="3"/>
        <v>7</v>
      </c>
      <c r="C140" s="2">
        <v>515768.83377240872</v>
      </c>
    </row>
    <row r="141" spans="1:3" x14ac:dyDescent="0.3">
      <c r="A141" t="str">
        <f t="shared" si="2"/>
        <v>Croatia</v>
      </c>
      <c r="B141">
        <f t="shared" si="3"/>
        <v>7</v>
      </c>
      <c r="C141" s="2">
        <v>352495.76233133051</v>
      </c>
    </row>
    <row r="142" spans="1:3" x14ac:dyDescent="0.3">
      <c r="A142" t="str">
        <f t="shared" si="2"/>
        <v>Finland</v>
      </c>
      <c r="B142">
        <f t="shared" si="3"/>
        <v>7</v>
      </c>
      <c r="C142" s="2">
        <v>100574.92258561969</v>
      </c>
    </row>
    <row r="143" spans="1:3" x14ac:dyDescent="0.3">
      <c r="A143" t="str">
        <f>A123</f>
        <v>NO5</v>
      </c>
      <c r="B143">
        <f>B123+1</f>
        <v>7</v>
      </c>
      <c r="C143" s="2">
        <v>262017.24596183078</v>
      </c>
    </row>
    <row r="144" spans="1:3" x14ac:dyDescent="0.3">
      <c r="C144" s="2"/>
    </row>
    <row r="145" spans="3:3" x14ac:dyDescent="0.3">
      <c r="C145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2"/>
  <sheetViews>
    <sheetView workbookViewId="0">
      <selection activeCell="L14" sqref="L14"/>
    </sheetView>
  </sheetViews>
  <sheetFormatPr defaultRowHeight="14.4" x14ac:dyDescent="0.3"/>
  <cols>
    <col min="1" max="1" width="11" bestFit="1" customWidth="1"/>
    <col min="19" max="19" width="12" bestFit="1" customWidth="1"/>
  </cols>
  <sheetData>
    <row r="1" spans="1:6" x14ac:dyDescent="0.3">
      <c r="A1" t="s">
        <v>117</v>
      </c>
    </row>
    <row r="2" spans="1:6" x14ac:dyDescent="0.3">
      <c r="A2" t="s">
        <v>118</v>
      </c>
    </row>
    <row r="3" spans="1:6" x14ac:dyDescent="0.3">
      <c r="A3" t="s">
        <v>119</v>
      </c>
    </row>
    <row r="4" spans="1:6" x14ac:dyDescent="0.3">
      <c r="A4">
        <v>1.5304862914383599</v>
      </c>
    </row>
    <row r="12" spans="1:6" x14ac:dyDescent="0.3">
      <c r="F12" s="1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4"/>
  <sheetViews>
    <sheetView workbookViewId="0">
      <selection activeCell="M14" sqref="M14:M15"/>
    </sheetView>
  </sheetViews>
  <sheetFormatPr defaultRowHeight="14.4" x14ac:dyDescent="0.3"/>
  <sheetData>
    <row r="1" spans="1:1" x14ac:dyDescent="0.3">
      <c r="A1" t="s">
        <v>120</v>
      </c>
    </row>
    <row r="2" spans="1:1" x14ac:dyDescent="0.3">
      <c r="A2" t="s">
        <v>121</v>
      </c>
    </row>
    <row r="3" spans="1:1" x14ac:dyDescent="0.3">
      <c r="A3" t="s">
        <v>122</v>
      </c>
    </row>
    <row r="4" spans="1:1" x14ac:dyDescent="0.3">
      <c r="A4">
        <v>0.2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178"/>
  <sheetViews>
    <sheetView workbookViewId="0">
      <selection activeCell="I14" sqref="I14"/>
    </sheetView>
  </sheetViews>
  <sheetFormatPr defaultRowHeight="14.4" x14ac:dyDescent="0.3"/>
  <cols>
    <col min="8" max="8" width="10" bestFit="1" customWidth="1"/>
  </cols>
  <sheetData>
    <row r="1" spans="1:3" x14ac:dyDescent="0.3">
      <c r="A1" t="s">
        <v>123</v>
      </c>
    </row>
    <row r="2" spans="1:3" x14ac:dyDescent="0.3">
      <c r="A2" t="s">
        <v>124</v>
      </c>
    </row>
    <row r="3" spans="1:3" x14ac:dyDescent="0.3">
      <c r="A3" t="s">
        <v>16</v>
      </c>
      <c r="B3" t="s">
        <v>41</v>
      </c>
      <c r="C3" t="s">
        <v>125</v>
      </c>
    </row>
    <row r="4" spans="1:3" x14ac:dyDescent="0.3">
      <c r="A4" t="s">
        <v>23</v>
      </c>
      <c r="B4">
        <v>1</v>
      </c>
      <c r="C4">
        <v>53493.679012345667</v>
      </c>
    </row>
    <row r="5" spans="1:3" x14ac:dyDescent="0.3">
      <c r="A5" t="s">
        <v>23</v>
      </c>
      <c r="B5">
        <v>2</v>
      </c>
      <c r="C5">
        <v>42794.943209876532</v>
      </c>
    </row>
    <row r="6" spans="1:3" x14ac:dyDescent="0.3">
      <c r="A6" t="s">
        <v>23</v>
      </c>
      <c r="B6">
        <v>3</v>
      </c>
      <c r="C6">
        <v>32096.207407407397</v>
      </c>
    </row>
    <row r="7" spans="1:3" x14ac:dyDescent="0.3">
      <c r="A7" t="s">
        <v>23</v>
      </c>
      <c r="B7">
        <v>4</v>
      </c>
      <c r="C7">
        <v>21397.471604938262</v>
      </c>
    </row>
    <row r="8" spans="1:3" x14ac:dyDescent="0.3">
      <c r="A8" t="s">
        <v>23</v>
      </c>
      <c r="B8">
        <v>5</v>
      </c>
      <c r="C8">
        <v>10698.735802469129</v>
      </c>
    </row>
    <row r="9" spans="1:3" x14ac:dyDescent="0.3">
      <c r="A9" t="s">
        <v>23</v>
      </c>
      <c r="B9">
        <v>6</v>
      </c>
      <c r="C9">
        <v>0</v>
      </c>
    </row>
    <row r="10" spans="1:3" x14ac:dyDescent="0.3">
      <c r="A10" t="s">
        <v>23</v>
      </c>
      <c r="B10">
        <v>7</v>
      </c>
      <c r="C10">
        <v>0</v>
      </c>
    </row>
    <row r="11" spans="1:3" x14ac:dyDescent="0.3">
      <c r="A11" t="s">
        <v>22</v>
      </c>
      <c r="B11">
        <v>1</v>
      </c>
      <c r="C11">
        <v>196314.12345679011</v>
      </c>
    </row>
    <row r="12" spans="1:3" x14ac:dyDescent="0.3">
      <c r="A12" t="s">
        <v>22</v>
      </c>
      <c r="B12">
        <v>2</v>
      </c>
      <c r="C12">
        <v>157051.29876543209</v>
      </c>
    </row>
    <row r="13" spans="1:3" x14ac:dyDescent="0.3">
      <c r="A13" t="s">
        <v>22</v>
      </c>
      <c r="B13">
        <v>3</v>
      </c>
      <c r="C13">
        <v>117788.47407407407</v>
      </c>
    </row>
    <row r="14" spans="1:3" x14ac:dyDescent="0.3">
      <c r="A14" t="s">
        <v>22</v>
      </c>
      <c r="B14">
        <v>4</v>
      </c>
      <c r="C14">
        <v>78525.649382716045</v>
      </c>
    </row>
    <row r="15" spans="1:3" x14ac:dyDescent="0.3">
      <c r="A15" t="s">
        <v>22</v>
      </c>
      <c r="B15">
        <v>5</v>
      </c>
      <c r="C15">
        <v>39262.824691358022</v>
      </c>
    </row>
    <row r="16" spans="1:3" x14ac:dyDescent="0.3">
      <c r="A16" t="s">
        <v>22</v>
      </c>
      <c r="B16">
        <v>6</v>
      </c>
      <c r="C16">
        <v>0</v>
      </c>
    </row>
    <row r="17" spans="1:3" x14ac:dyDescent="0.3">
      <c r="A17" t="s">
        <v>22</v>
      </c>
      <c r="B17">
        <v>7</v>
      </c>
      <c r="C17">
        <v>0</v>
      </c>
    </row>
    <row r="18" spans="1:3" x14ac:dyDescent="0.3">
      <c r="A18" t="s">
        <v>70</v>
      </c>
      <c r="B18">
        <v>1</v>
      </c>
      <c r="C18">
        <v>15357.03703703704</v>
      </c>
    </row>
    <row r="19" spans="1:3" x14ac:dyDescent="0.3">
      <c r="A19" t="s">
        <v>70</v>
      </c>
      <c r="B19">
        <v>2</v>
      </c>
      <c r="C19">
        <v>12285.629629629631</v>
      </c>
    </row>
    <row r="20" spans="1:3" x14ac:dyDescent="0.3">
      <c r="A20" t="s">
        <v>70</v>
      </c>
      <c r="B20">
        <v>3</v>
      </c>
      <c r="C20">
        <v>9214.2222222222226</v>
      </c>
    </row>
    <row r="21" spans="1:3" x14ac:dyDescent="0.3">
      <c r="A21" t="s">
        <v>70</v>
      </c>
      <c r="B21">
        <v>4</v>
      </c>
      <c r="C21">
        <v>6142.8148148148148</v>
      </c>
    </row>
    <row r="22" spans="1:3" x14ac:dyDescent="0.3">
      <c r="A22" t="s">
        <v>70</v>
      </c>
      <c r="B22">
        <v>5</v>
      </c>
      <c r="C22">
        <v>3071.4074074074069</v>
      </c>
    </row>
    <row r="23" spans="1:3" x14ac:dyDescent="0.3">
      <c r="A23" t="s">
        <v>70</v>
      </c>
      <c r="B23">
        <v>6</v>
      </c>
      <c r="C23">
        <v>0</v>
      </c>
    </row>
    <row r="24" spans="1:3" x14ac:dyDescent="0.3">
      <c r="A24" t="s">
        <v>70</v>
      </c>
      <c r="B24">
        <v>7</v>
      </c>
      <c r="C24">
        <v>0</v>
      </c>
    </row>
    <row r="25" spans="1:3" x14ac:dyDescent="0.3">
      <c r="A25" t="s">
        <v>36</v>
      </c>
      <c r="B25">
        <v>1</v>
      </c>
      <c r="C25">
        <v>23035.555555555558</v>
      </c>
    </row>
    <row r="26" spans="1:3" x14ac:dyDescent="0.3">
      <c r="A26" t="s">
        <v>36</v>
      </c>
      <c r="B26">
        <v>2</v>
      </c>
      <c r="C26">
        <v>18428.444444444445</v>
      </c>
    </row>
    <row r="27" spans="1:3" x14ac:dyDescent="0.3">
      <c r="A27" t="s">
        <v>36</v>
      </c>
      <c r="B27">
        <v>3</v>
      </c>
      <c r="C27">
        <v>13821.333333333334</v>
      </c>
    </row>
    <row r="28" spans="1:3" x14ac:dyDescent="0.3">
      <c r="A28" t="s">
        <v>36</v>
      </c>
      <c r="B28">
        <v>4</v>
      </c>
      <c r="C28">
        <v>9214.2222222222226</v>
      </c>
    </row>
    <row r="29" spans="1:3" x14ac:dyDescent="0.3">
      <c r="A29" t="s">
        <v>36</v>
      </c>
      <c r="B29">
        <v>5</v>
      </c>
      <c r="C29">
        <v>4607.1111111111113</v>
      </c>
    </row>
    <row r="30" spans="1:3" x14ac:dyDescent="0.3">
      <c r="A30" t="s">
        <v>36</v>
      </c>
      <c r="B30">
        <v>6</v>
      </c>
      <c r="C30">
        <v>0</v>
      </c>
    </row>
    <row r="31" spans="1:3" x14ac:dyDescent="0.3">
      <c r="A31" t="s">
        <v>36</v>
      </c>
      <c r="B31">
        <v>7</v>
      </c>
      <c r="C31">
        <v>0</v>
      </c>
    </row>
    <row r="32" spans="1:3" x14ac:dyDescent="0.3">
      <c r="A32" t="s">
        <v>27</v>
      </c>
      <c r="B32">
        <v>1</v>
      </c>
      <c r="C32">
        <v>44791.358024691363</v>
      </c>
    </row>
    <row r="33" spans="1:3" x14ac:dyDescent="0.3">
      <c r="A33" t="s">
        <v>27</v>
      </c>
      <c r="B33">
        <v>2</v>
      </c>
      <c r="C33">
        <v>35833.08641975309</v>
      </c>
    </row>
    <row r="34" spans="1:3" x14ac:dyDescent="0.3">
      <c r="A34" t="s">
        <v>27</v>
      </c>
      <c r="B34">
        <v>3</v>
      </c>
      <c r="C34">
        <v>26874.814814814818</v>
      </c>
    </row>
    <row r="35" spans="1:3" x14ac:dyDescent="0.3">
      <c r="A35" t="s">
        <v>27</v>
      </c>
      <c r="B35">
        <v>4</v>
      </c>
      <c r="C35">
        <v>17916.543209876545</v>
      </c>
    </row>
    <row r="36" spans="1:3" x14ac:dyDescent="0.3">
      <c r="A36" t="s">
        <v>27</v>
      </c>
      <c r="B36">
        <v>5</v>
      </c>
      <c r="C36">
        <v>8958.2716049382725</v>
      </c>
    </row>
    <row r="37" spans="1:3" x14ac:dyDescent="0.3">
      <c r="A37" t="s">
        <v>27</v>
      </c>
      <c r="B37">
        <v>6</v>
      </c>
      <c r="C37">
        <v>0</v>
      </c>
    </row>
    <row r="38" spans="1:3" x14ac:dyDescent="0.3">
      <c r="A38" t="s">
        <v>27</v>
      </c>
      <c r="B38">
        <v>7</v>
      </c>
      <c r="C38">
        <v>0</v>
      </c>
    </row>
    <row r="39" spans="1:3" x14ac:dyDescent="0.3">
      <c r="A39" t="s">
        <v>71</v>
      </c>
      <c r="B39">
        <v>1</v>
      </c>
      <c r="C39">
        <v>47606.814814814818</v>
      </c>
    </row>
    <row r="40" spans="1:3" x14ac:dyDescent="0.3">
      <c r="A40" t="s">
        <v>71</v>
      </c>
      <c r="B40">
        <v>2</v>
      </c>
      <c r="C40">
        <v>38085.451851851853</v>
      </c>
    </row>
    <row r="41" spans="1:3" x14ac:dyDescent="0.3">
      <c r="A41" t="s">
        <v>71</v>
      </c>
      <c r="B41">
        <v>3</v>
      </c>
      <c r="C41">
        <v>28564.088888888888</v>
      </c>
    </row>
    <row r="42" spans="1:3" x14ac:dyDescent="0.3">
      <c r="A42" t="s">
        <v>71</v>
      </c>
      <c r="B42">
        <v>4</v>
      </c>
      <c r="C42">
        <v>19042.725925925923</v>
      </c>
    </row>
    <row r="43" spans="1:3" x14ac:dyDescent="0.3">
      <c r="A43" t="s">
        <v>71</v>
      </c>
      <c r="B43">
        <v>5</v>
      </c>
      <c r="C43">
        <v>9521.3629629629595</v>
      </c>
    </row>
    <row r="44" spans="1:3" x14ac:dyDescent="0.3">
      <c r="A44" t="s">
        <v>71</v>
      </c>
      <c r="B44">
        <v>6</v>
      </c>
      <c r="C44">
        <v>0</v>
      </c>
    </row>
    <row r="45" spans="1:3" x14ac:dyDescent="0.3">
      <c r="A45" t="s">
        <v>71</v>
      </c>
      <c r="B45">
        <v>7</v>
      </c>
      <c r="C45">
        <v>0</v>
      </c>
    </row>
    <row r="46" spans="1:3" x14ac:dyDescent="0.3">
      <c r="A46" t="s">
        <v>29</v>
      </c>
      <c r="B46">
        <v>1</v>
      </c>
      <c r="C46">
        <v>67570.962962962964</v>
      </c>
    </row>
    <row r="47" spans="1:3" x14ac:dyDescent="0.3">
      <c r="A47" t="s">
        <v>29</v>
      </c>
      <c r="B47">
        <v>2</v>
      </c>
      <c r="C47">
        <v>54056.770370370374</v>
      </c>
    </row>
    <row r="48" spans="1:3" x14ac:dyDescent="0.3">
      <c r="A48" t="s">
        <v>29</v>
      </c>
      <c r="B48">
        <v>3</v>
      </c>
      <c r="C48">
        <v>40542.577777777784</v>
      </c>
    </row>
    <row r="49" spans="1:3" x14ac:dyDescent="0.3">
      <c r="A49" t="s">
        <v>29</v>
      </c>
      <c r="B49">
        <v>4</v>
      </c>
      <c r="C49">
        <v>27028.38518518519</v>
      </c>
    </row>
    <row r="50" spans="1:3" x14ac:dyDescent="0.3">
      <c r="A50" t="s">
        <v>29</v>
      </c>
      <c r="B50">
        <v>5</v>
      </c>
      <c r="C50">
        <v>13514.192592592597</v>
      </c>
    </row>
    <row r="51" spans="1:3" x14ac:dyDescent="0.3">
      <c r="A51" t="s">
        <v>29</v>
      </c>
      <c r="B51">
        <v>6</v>
      </c>
      <c r="C51">
        <v>0</v>
      </c>
    </row>
    <row r="52" spans="1:3" x14ac:dyDescent="0.3">
      <c r="A52" t="s">
        <v>29</v>
      </c>
      <c r="B52">
        <v>7</v>
      </c>
      <c r="C52">
        <v>0</v>
      </c>
    </row>
    <row r="53" spans="1:3" x14ac:dyDescent="0.3">
      <c r="A53" t="s">
        <v>19</v>
      </c>
      <c r="B53">
        <v>1</v>
      </c>
      <c r="C53">
        <v>332223.90123456792</v>
      </c>
    </row>
    <row r="54" spans="1:3" x14ac:dyDescent="0.3">
      <c r="A54" t="s">
        <v>19</v>
      </c>
      <c r="B54">
        <v>2</v>
      </c>
      <c r="C54">
        <v>265779.12098765431</v>
      </c>
    </row>
    <row r="55" spans="1:3" x14ac:dyDescent="0.3">
      <c r="A55" t="s">
        <v>19</v>
      </c>
      <c r="B55">
        <v>3</v>
      </c>
      <c r="C55">
        <v>199334.34074074074</v>
      </c>
    </row>
    <row r="56" spans="1:3" x14ac:dyDescent="0.3">
      <c r="A56" t="s">
        <v>19</v>
      </c>
      <c r="B56">
        <v>4</v>
      </c>
      <c r="C56">
        <v>132889.56049382716</v>
      </c>
    </row>
    <row r="57" spans="1:3" x14ac:dyDescent="0.3">
      <c r="A57" t="s">
        <v>19</v>
      </c>
      <c r="B57">
        <v>5</v>
      </c>
      <c r="C57">
        <v>66444.780246913579</v>
      </c>
    </row>
    <row r="58" spans="1:3" x14ac:dyDescent="0.3">
      <c r="A58" t="s">
        <v>19</v>
      </c>
      <c r="B58">
        <v>6</v>
      </c>
      <c r="C58">
        <v>0</v>
      </c>
    </row>
    <row r="59" spans="1:3" x14ac:dyDescent="0.3">
      <c r="A59" t="s">
        <v>19</v>
      </c>
      <c r="B59">
        <v>7</v>
      </c>
      <c r="C59">
        <v>0</v>
      </c>
    </row>
    <row r="60" spans="1:3" x14ac:dyDescent="0.3">
      <c r="A60" t="s">
        <v>17</v>
      </c>
      <c r="B60">
        <v>1</v>
      </c>
      <c r="C60">
        <v>565138.96296296304</v>
      </c>
    </row>
    <row r="61" spans="1:3" x14ac:dyDescent="0.3">
      <c r="A61" t="s">
        <v>17</v>
      </c>
      <c r="B61">
        <v>2</v>
      </c>
      <c r="C61">
        <v>452111.17037037044</v>
      </c>
    </row>
    <row r="62" spans="1:3" x14ac:dyDescent="0.3">
      <c r="A62" t="s">
        <v>17</v>
      </c>
      <c r="B62">
        <v>3</v>
      </c>
      <c r="C62">
        <v>339083.37777777785</v>
      </c>
    </row>
    <row r="63" spans="1:3" x14ac:dyDescent="0.3">
      <c r="A63" t="s">
        <v>17</v>
      </c>
      <c r="B63">
        <v>4</v>
      </c>
      <c r="C63">
        <v>226055.58518518525</v>
      </c>
    </row>
    <row r="64" spans="1:3" x14ac:dyDescent="0.3">
      <c r="A64" t="s">
        <v>17</v>
      </c>
      <c r="B64">
        <v>5</v>
      </c>
      <c r="C64">
        <v>113027.79259259264</v>
      </c>
    </row>
    <row r="65" spans="1:3" x14ac:dyDescent="0.3">
      <c r="A65" t="s">
        <v>17</v>
      </c>
      <c r="B65">
        <v>6</v>
      </c>
      <c r="C65">
        <v>0</v>
      </c>
    </row>
    <row r="66" spans="1:3" x14ac:dyDescent="0.3">
      <c r="A66" t="s">
        <v>17</v>
      </c>
      <c r="B66">
        <v>7</v>
      </c>
      <c r="C66">
        <v>0</v>
      </c>
    </row>
    <row r="67" spans="1:3" x14ac:dyDescent="0.3">
      <c r="A67" t="s">
        <v>33</v>
      </c>
      <c r="B67">
        <v>1</v>
      </c>
      <c r="C67">
        <v>136933.5802469136</v>
      </c>
    </row>
    <row r="68" spans="1:3" x14ac:dyDescent="0.3">
      <c r="A68" t="s">
        <v>33</v>
      </c>
      <c r="B68">
        <v>2</v>
      </c>
      <c r="C68">
        <v>109546.86419753087</v>
      </c>
    </row>
    <row r="69" spans="1:3" x14ac:dyDescent="0.3">
      <c r="A69" t="s">
        <v>33</v>
      </c>
      <c r="B69">
        <v>3</v>
      </c>
      <c r="C69">
        <v>82160.148148148146</v>
      </c>
    </row>
    <row r="70" spans="1:3" x14ac:dyDescent="0.3">
      <c r="A70" t="s">
        <v>33</v>
      </c>
      <c r="B70">
        <v>4</v>
      </c>
      <c r="C70">
        <v>54773.432098765428</v>
      </c>
    </row>
    <row r="71" spans="1:3" x14ac:dyDescent="0.3">
      <c r="A71" t="s">
        <v>33</v>
      </c>
      <c r="B71">
        <v>5</v>
      </c>
      <c r="C71">
        <v>27386.71604938271</v>
      </c>
    </row>
    <row r="72" spans="1:3" x14ac:dyDescent="0.3">
      <c r="A72" t="s">
        <v>33</v>
      </c>
      <c r="B72">
        <v>6</v>
      </c>
      <c r="C72">
        <v>0</v>
      </c>
    </row>
    <row r="73" spans="1:3" x14ac:dyDescent="0.3">
      <c r="A73" t="s">
        <v>33</v>
      </c>
      <c r="B73">
        <v>7</v>
      </c>
      <c r="C73">
        <v>0</v>
      </c>
    </row>
    <row r="74" spans="1:3" x14ac:dyDescent="0.3">
      <c r="A74" t="s">
        <v>32</v>
      </c>
      <c r="B74">
        <v>1</v>
      </c>
      <c r="C74">
        <v>42231.851851851847</v>
      </c>
    </row>
    <row r="75" spans="1:3" x14ac:dyDescent="0.3">
      <c r="A75" t="s">
        <v>32</v>
      </c>
      <c r="B75">
        <v>2</v>
      </c>
      <c r="C75">
        <v>33785.481481481474</v>
      </c>
    </row>
    <row r="76" spans="1:3" x14ac:dyDescent="0.3">
      <c r="A76" t="s">
        <v>32</v>
      </c>
      <c r="B76">
        <v>3</v>
      </c>
      <c r="C76">
        <v>25339.111111111106</v>
      </c>
    </row>
    <row r="77" spans="1:3" x14ac:dyDescent="0.3">
      <c r="A77" t="s">
        <v>32</v>
      </c>
      <c r="B77">
        <v>4</v>
      </c>
      <c r="C77">
        <v>16892.740740740737</v>
      </c>
    </row>
    <row r="78" spans="1:3" x14ac:dyDescent="0.3">
      <c r="A78" t="s">
        <v>32</v>
      </c>
      <c r="B78">
        <v>5</v>
      </c>
      <c r="C78">
        <v>8446.3703703703686</v>
      </c>
    </row>
    <row r="79" spans="1:3" x14ac:dyDescent="0.3">
      <c r="A79" t="s">
        <v>32</v>
      </c>
      <c r="B79">
        <v>6</v>
      </c>
      <c r="C79">
        <v>0</v>
      </c>
    </row>
    <row r="80" spans="1:3" x14ac:dyDescent="0.3">
      <c r="A80" t="s">
        <v>32</v>
      </c>
      <c r="B80">
        <v>7</v>
      </c>
      <c r="C80">
        <v>0</v>
      </c>
    </row>
    <row r="81" spans="1:3" x14ac:dyDescent="0.3">
      <c r="A81" t="s">
        <v>73</v>
      </c>
      <c r="B81">
        <v>1</v>
      </c>
      <c r="C81">
        <v>19196.296296296299</v>
      </c>
    </row>
    <row r="82" spans="1:3" x14ac:dyDescent="0.3">
      <c r="A82" t="s">
        <v>73</v>
      </c>
      <c r="B82">
        <v>2</v>
      </c>
      <c r="C82">
        <v>15357.03703703704</v>
      </c>
    </row>
    <row r="83" spans="1:3" x14ac:dyDescent="0.3">
      <c r="A83" t="s">
        <v>73</v>
      </c>
      <c r="B83">
        <v>3</v>
      </c>
      <c r="C83">
        <v>11517.777777777781</v>
      </c>
    </row>
    <row r="84" spans="1:3" x14ac:dyDescent="0.3">
      <c r="A84" t="s">
        <v>73</v>
      </c>
      <c r="B84">
        <v>4</v>
      </c>
      <c r="C84">
        <v>7678.518518518521</v>
      </c>
    </row>
    <row r="85" spans="1:3" x14ac:dyDescent="0.3">
      <c r="A85" t="s">
        <v>73</v>
      </c>
      <c r="B85">
        <v>5</v>
      </c>
      <c r="C85">
        <v>3839.2592592592609</v>
      </c>
    </row>
    <row r="86" spans="1:3" x14ac:dyDescent="0.3">
      <c r="A86" t="s">
        <v>73</v>
      </c>
      <c r="B86">
        <v>6</v>
      </c>
      <c r="C86">
        <v>0</v>
      </c>
    </row>
    <row r="87" spans="1:3" x14ac:dyDescent="0.3">
      <c r="A87" t="s">
        <v>73</v>
      </c>
      <c r="B87">
        <v>7</v>
      </c>
      <c r="C87">
        <v>0</v>
      </c>
    </row>
    <row r="88" spans="1:3" x14ac:dyDescent="0.3">
      <c r="A88" t="s">
        <v>18</v>
      </c>
      <c r="B88">
        <v>1</v>
      </c>
      <c r="C88">
        <v>442794.56790123461</v>
      </c>
    </row>
    <row r="89" spans="1:3" x14ac:dyDescent="0.3">
      <c r="A89" t="s">
        <v>18</v>
      </c>
      <c r="B89">
        <v>2</v>
      </c>
      <c r="C89">
        <v>354235.6543209877</v>
      </c>
    </row>
    <row r="90" spans="1:3" x14ac:dyDescent="0.3">
      <c r="A90" t="s">
        <v>18</v>
      </c>
      <c r="B90">
        <v>3</v>
      </c>
      <c r="C90">
        <v>265676.74074074079</v>
      </c>
    </row>
    <row r="91" spans="1:3" x14ac:dyDescent="0.3">
      <c r="A91" t="s">
        <v>18</v>
      </c>
      <c r="B91">
        <v>4</v>
      </c>
      <c r="C91">
        <v>177117.82716049388</v>
      </c>
    </row>
    <row r="92" spans="1:3" x14ac:dyDescent="0.3">
      <c r="A92" t="s">
        <v>18</v>
      </c>
      <c r="B92">
        <v>5</v>
      </c>
      <c r="C92">
        <v>88558.913580246954</v>
      </c>
    </row>
    <row r="93" spans="1:3" x14ac:dyDescent="0.3">
      <c r="A93" t="s">
        <v>18</v>
      </c>
      <c r="B93">
        <v>6</v>
      </c>
      <c r="C93">
        <v>0</v>
      </c>
    </row>
    <row r="94" spans="1:3" x14ac:dyDescent="0.3">
      <c r="A94" t="s">
        <v>18</v>
      </c>
      <c r="B94">
        <v>7</v>
      </c>
      <c r="C94">
        <v>0</v>
      </c>
    </row>
    <row r="95" spans="1:3" x14ac:dyDescent="0.3">
      <c r="A95" t="s">
        <v>75</v>
      </c>
      <c r="B95">
        <v>1</v>
      </c>
      <c r="C95">
        <v>52469.876543209873</v>
      </c>
    </row>
    <row r="96" spans="1:3" x14ac:dyDescent="0.3">
      <c r="A96" t="s">
        <v>75</v>
      </c>
      <c r="B96">
        <v>2</v>
      </c>
      <c r="C96">
        <v>41975.9012345679</v>
      </c>
    </row>
    <row r="97" spans="1:3" x14ac:dyDescent="0.3">
      <c r="A97" t="s">
        <v>75</v>
      </c>
      <c r="B97">
        <v>3</v>
      </c>
      <c r="C97">
        <v>31481.925925925927</v>
      </c>
    </row>
    <row r="98" spans="1:3" x14ac:dyDescent="0.3">
      <c r="A98" t="s">
        <v>75</v>
      </c>
      <c r="B98">
        <v>4</v>
      </c>
      <c r="C98">
        <v>20987.950617283954</v>
      </c>
    </row>
    <row r="99" spans="1:3" x14ac:dyDescent="0.3">
      <c r="A99" t="s">
        <v>75</v>
      </c>
      <c r="B99">
        <v>5</v>
      </c>
      <c r="C99">
        <v>10493.975308641979</v>
      </c>
    </row>
    <row r="100" spans="1:3" x14ac:dyDescent="0.3">
      <c r="A100" t="s">
        <v>75</v>
      </c>
      <c r="B100">
        <v>6</v>
      </c>
      <c r="C100">
        <v>0</v>
      </c>
    </row>
    <row r="101" spans="1:3" x14ac:dyDescent="0.3">
      <c r="A101" t="s">
        <v>75</v>
      </c>
      <c r="B101">
        <v>7</v>
      </c>
      <c r="C101">
        <v>0</v>
      </c>
    </row>
    <row r="102" spans="1:3" x14ac:dyDescent="0.3">
      <c r="A102" t="s">
        <v>25</v>
      </c>
      <c r="B102">
        <v>1</v>
      </c>
      <c r="C102">
        <v>344253.5802469136</v>
      </c>
    </row>
    <row r="103" spans="1:3" x14ac:dyDescent="0.3">
      <c r="A103" t="s">
        <v>25</v>
      </c>
      <c r="B103">
        <v>2</v>
      </c>
      <c r="C103">
        <v>275402.8641975309</v>
      </c>
    </row>
    <row r="104" spans="1:3" x14ac:dyDescent="0.3">
      <c r="A104" t="s">
        <v>25</v>
      </c>
      <c r="B104">
        <v>3</v>
      </c>
      <c r="C104">
        <v>206552.14814814818</v>
      </c>
    </row>
    <row r="105" spans="1:3" x14ac:dyDescent="0.3">
      <c r="A105" t="s">
        <v>25</v>
      </c>
      <c r="B105">
        <v>4</v>
      </c>
      <c r="C105">
        <v>137701.43209876545</v>
      </c>
    </row>
    <row r="106" spans="1:3" x14ac:dyDescent="0.3">
      <c r="A106" t="s">
        <v>25</v>
      </c>
      <c r="B106">
        <v>5</v>
      </c>
      <c r="C106">
        <v>68850.716049382725</v>
      </c>
    </row>
    <row r="107" spans="1:3" x14ac:dyDescent="0.3">
      <c r="A107" t="s">
        <v>25</v>
      </c>
      <c r="B107">
        <v>6</v>
      </c>
      <c r="C107">
        <v>0</v>
      </c>
    </row>
    <row r="108" spans="1:3" x14ac:dyDescent="0.3">
      <c r="A108" t="s">
        <v>25</v>
      </c>
      <c r="B108">
        <v>7</v>
      </c>
      <c r="C108">
        <v>0</v>
      </c>
    </row>
    <row r="109" spans="1:3" x14ac:dyDescent="0.3">
      <c r="A109" t="s">
        <v>81</v>
      </c>
      <c r="B109">
        <v>1</v>
      </c>
      <c r="C109">
        <v>52469.876543209873</v>
      </c>
    </row>
    <row r="110" spans="1:3" x14ac:dyDescent="0.3">
      <c r="A110" t="s">
        <v>81</v>
      </c>
      <c r="B110">
        <v>2</v>
      </c>
      <c r="C110">
        <v>41975.9012345679</v>
      </c>
    </row>
    <row r="111" spans="1:3" x14ac:dyDescent="0.3">
      <c r="A111" t="s">
        <v>81</v>
      </c>
      <c r="B111">
        <v>3</v>
      </c>
      <c r="C111">
        <v>31481.925925925927</v>
      </c>
    </row>
    <row r="112" spans="1:3" x14ac:dyDescent="0.3">
      <c r="A112" t="s">
        <v>81</v>
      </c>
      <c r="B112">
        <v>4</v>
      </c>
      <c r="C112">
        <v>20987.950617283954</v>
      </c>
    </row>
    <row r="113" spans="1:3" x14ac:dyDescent="0.3">
      <c r="A113" t="s">
        <v>81</v>
      </c>
      <c r="B113">
        <v>5</v>
      </c>
      <c r="C113">
        <v>10493.975308641979</v>
      </c>
    </row>
    <row r="114" spans="1:3" x14ac:dyDescent="0.3">
      <c r="A114" t="s">
        <v>81</v>
      </c>
      <c r="B114">
        <v>6</v>
      </c>
      <c r="C114">
        <v>0</v>
      </c>
    </row>
    <row r="115" spans="1:3" x14ac:dyDescent="0.3">
      <c r="A115" t="s">
        <v>81</v>
      </c>
      <c r="B115">
        <v>7</v>
      </c>
      <c r="C115">
        <v>0</v>
      </c>
    </row>
    <row r="116" spans="1:3" x14ac:dyDescent="0.3">
      <c r="A116" t="s">
        <v>77</v>
      </c>
      <c r="B116">
        <v>1</v>
      </c>
      <c r="C116">
        <v>29690.27160493828</v>
      </c>
    </row>
    <row r="117" spans="1:3" x14ac:dyDescent="0.3">
      <c r="A117" t="s">
        <v>77</v>
      </c>
      <c r="B117">
        <v>2</v>
      </c>
      <c r="C117">
        <v>23752.217283950624</v>
      </c>
    </row>
    <row r="118" spans="1:3" x14ac:dyDescent="0.3">
      <c r="A118" t="s">
        <v>77</v>
      </c>
      <c r="B118">
        <v>3</v>
      </c>
      <c r="C118">
        <v>17814.162962962968</v>
      </c>
    </row>
    <row r="119" spans="1:3" x14ac:dyDescent="0.3">
      <c r="A119" t="s">
        <v>77</v>
      </c>
      <c r="B119">
        <v>4</v>
      </c>
      <c r="C119">
        <v>11876.108641975312</v>
      </c>
    </row>
    <row r="120" spans="1:3" x14ac:dyDescent="0.3">
      <c r="A120" t="s">
        <v>77</v>
      </c>
      <c r="B120">
        <v>5</v>
      </c>
      <c r="C120">
        <v>5938.054320987656</v>
      </c>
    </row>
    <row r="121" spans="1:3" x14ac:dyDescent="0.3">
      <c r="A121" t="s">
        <v>77</v>
      </c>
      <c r="B121">
        <v>6</v>
      </c>
      <c r="C121">
        <v>0</v>
      </c>
    </row>
    <row r="122" spans="1:3" x14ac:dyDescent="0.3">
      <c r="A122" t="s">
        <v>77</v>
      </c>
      <c r="B122">
        <v>7</v>
      </c>
      <c r="C122">
        <v>0</v>
      </c>
    </row>
    <row r="123" spans="1:3" x14ac:dyDescent="0.3">
      <c r="A123" t="s">
        <v>21</v>
      </c>
      <c r="B123">
        <v>1</v>
      </c>
      <c r="C123">
        <v>145891.85185185191</v>
      </c>
    </row>
    <row r="124" spans="1:3" x14ac:dyDescent="0.3">
      <c r="A124" t="s">
        <v>21</v>
      </c>
      <c r="B124">
        <v>2</v>
      </c>
      <c r="C124">
        <v>116713.48148148153</v>
      </c>
    </row>
    <row r="125" spans="1:3" x14ac:dyDescent="0.3">
      <c r="A125" t="s">
        <v>21</v>
      </c>
      <c r="B125">
        <v>3</v>
      </c>
      <c r="C125">
        <v>87535.111111111153</v>
      </c>
    </row>
    <row r="126" spans="1:3" x14ac:dyDescent="0.3">
      <c r="A126" t="s">
        <v>21</v>
      </c>
      <c r="B126">
        <v>4</v>
      </c>
      <c r="C126">
        <v>58356.740740740774</v>
      </c>
    </row>
    <row r="127" spans="1:3" x14ac:dyDescent="0.3">
      <c r="A127" t="s">
        <v>21</v>
      </c>
      <c r="B127">
        <v>5</v>
      </c>
      <c r="C127">
        <v>29178.37037037039</v>
      </c>
    </row>
    <row r="128" spans="1:3" x14ac:dyDescent="0.3">
      <c r="A128" t="s">
        <v>21</v>
      </c>
      <c r="B128">
        <v>6</v>
      </c>
      <c r="C128">
        <v>0</v>
      </c>
    </row>
    <row r="129" spans="1:3" x14ac:dyDescent="0.3">
      <c r="A129" t="s">
        <v>21</v>
      </c>
      <c r="B129">
        <v>7</v>
      </c>
      <c r="C129">
        <v>0</v>
      </c>
    </row>
    <row r="130" spans="1:3" x14ac:dyDescent="0.3">
      <c r="A130" t="s">
        <v>82</v>
      </c>
      <c r="B130">
        <v>1</v>
      </c>
      <c r="C130">
        <v>84463.703703703708</v>
      </c>
    </row>
    <row r="131" spans="1:3" x14ac:dyDescent="0.3">
      <c r="A131" t="s">
        <v>82</v>
      </c>
      <c r="B131">
        <v>2</v>
      </c>
      <c r="C131">
        <v>67570.962962962964</v>
      </c>
    </row>
    <row r="132" spans="1:3" x14ac:dyDescent="0.3">
      <c r="A132" t="s">
        <v>82</v>
      </c>
      <c r="B132">
        <v>3</v>
      </c>
      <c r="C132">
        <v>50678.222222222219</v>
      </c>
    </row>
    <row r="133" spans="1:3" x14ac:dyDescent="0.3">
      <c r="A133" t="s">
        <v>82</v>
      </c>
      <c r="B133">
        <v>4</v>
      </c>
      <c r="C133">
        <v>33785.481481481474</v>
      </c>
    </row>
    <row r="134" spans="1:3" x14ac:dyDescent="0.3">
      <c r="A134" t="s">
        <v>82</v>
      </c>
      <c r="B134">
        <v>5</v>
      </c>
      <c r="C134">
        <v>16892.740740740734</v>
      </c>
    </row>
    <row r="135" spans="1:3" x14ac:dyDescent="0.3">
      <c r="A135" t="s">
        <v>82</v>
      </c>
      <c r="B135">
        <v>6</v>
      </c>
      <c r="C135">
        <v>0</v>
      </c>
    </row>
    <row r="136" spans="1:3" x14ac:dyDescent="0.3">
      <c r="A136" t="s">
        <v>82</v>
      </c>
      <c r="B136">
        <v>7</v>
      </c>
      <c r="C136">
        <v>0</v>
      </c>
    </row>
    <row r="137" spans="1:3" x14ac:dyDescent="0.3">
      <c r="A137" t="s">
        <v>83</v>
      </c>
      <c r="B137">
        <v>1</v>
      </c>
      <c r="C137">
        <v>37880.691358024691</v>
      </c>
    </row>
    <row r="138" spans="1:3" x14ac:dyDescent="0.3">
      <c r="A138" t="s">
        <v>83</v>
      </c>
      <c r="B138">
        <v>2</v>
      </c>
      <c r="C138">
        <v>30304.553086419754</v>
      </c>
    </row>
    <row r="139" spans="1:3" x14ac:dyDescent="0.3">
      <c r="A139" t="s">
        <v>83</v>
      </c>
      <c r="B139">
        <v>3</v>
      </c>
      <c r="C139">
        <v>22728.414814814816</v>
      </c>
    </row>
    <row r="140" spans="1:3" x14ac:dyDescent="0.3">
      <c r="A140" t="s">
        <v>83</v>
      </c>
      <c r="B140">
        <v>4</v>
      </c>
      <c r="C140">
        <v>15152.276543209879</v>
      </c>
    </row>
    <row r="141" spans="1:3" x14ac:dyDescent="0.3">
      <c r="A141" t="s">
        <v>83</v>
      </c>
      <c r="B141">
        <v>5</v>
      </c>
      <c r="C141">
        <v>7576.1382716049402</v>
      </c>
    </row>
    <row r="142" spans="1:3" x14ac:dyDescent="0.3">
      <c r="A142" t="s">
        <v>83</v>
      </c>
      <c r="B142">
        <v>6</v>
      </c>
      <c r="C142">
        <v>0</v>
      </c>
    </row>
    <row r="143" spans="1:3" x14ac:dyDescent="0.3">
      <c r="A143" t="s">
        <v>83</v>
      </c>
      <c r="B143">
        <v>7</v>
      </c>
      <c r="C143">
        <v>0</v>
      </c>
    </row>
    <row r="144" spans="1:3" x14ac:dyDescent="0.3">
      <c r="A144" t="s">
        <v>28</v>
      </c>
      <c r="B144">
        <v>1</v>
      </c>
      <c r="C144">
        <v>31737.876543209881</v>
      </c>
    </row>
    <row r="145" spans="1:3" x14ac:dyDescent="0.3">
      <c r="A145" t="s">
        <v>28</v>
      </c>
      <c r="B145">
        <v>2</v>
      </c>
      <c r="C145">
        <v>25390.301234567905</v>
      </c>
    </row>
    <row r="146" spans="1:3" x14ac:dyDescent="0.3">
      <c r="A146" t="s">
        <v>28</v>
      </c>
      <c r="B146">
        <v>3</v>
      </c>
      <c r="C146">
        <v>19042.72592592593</v>
      </c>
    </row>
    <row r="147" spans="1:3" x14ac:dyDescent="0.3">
      <c r="A147" t="s">
        <v>28</v>
      </c>
      <c r="B147">
        <v>4</v>
      </c>
      <c r="C147">
        <v>12695.150617283954</v>
      </c>
    </row>
    <row r="148" spans="1:3" x14ac:dyDescent="0.3">
      <c r="A148" t="s">
        <v>28</v>
      </c>
      <c r="B148">
        <v>5</v>
      </c>
      <c r="C148">
        <v>6347.5753086419782</v>
      </c>
    </row>
    <row r="149" spans="1:3" x14ac:dyDescent="0.3">
      <c r="A149" t="s">
        <v>28</v>
      </c>
      <c r="B149">
        <v>6</v>
      </c>
      <c r="C149">
        <v>0</v>
      </c>
    </row>
    <row r="150" spans="1:3" x14ac:dyDescent="0.3">
      <c r="A150" t="s">
        <v>28</v>
      </c>
      <c r="B150">
        <v>7</v>
      </c>
      <c r="C150">
        <v>0</v>
      </c>
    </row>
    <row r="151" spans="1:3" x14ac:dyDescent="0.3">
      <c r="A151" t="s">
        <v>20</v>
      </c>
      <c r="B151">
        <v>1</v>
      </c>
      <c r="C151">
        <v>391092.54320987657</v>
      </c>
    </row>
    <row r="152" spans="1:3" x14ac:dyDescent="0.3">
      <c r="A152" t="s">
        <v>20</v>
      </c>
      <c r="B152">
        <v>2</v>
      </c>
      <c r="C152">
        <v>312874.03456790128</v>
      </c>
    </row>
    <row r="153" spans="1:3" x14ac:dyDescent="0.3">
      <c r="A153" t="s">
        <v>20</v>
      </c>
      <c r="B153">
        <v>3</v>
      </c>
      <c r="C153">
        <v>234655.52592592596</v>
      </c>
    </row>
    <row r="154" spans="1:3" x14ac:dyDescent="0.3">
      <c r="A154" t="s">
        <v>20</v>
      </c>
      <c r="B154">
        <v>4</v>
      </c>
      <c r="C154">
        <v>156437.01728395064</v>
      </c>
    </row>
    <row r="155" spans="1:3" x14ac:dyDescent="0.3">
      <c r="A155" t="s">
        <v>20</v>
      </c>
      <c r="B155">
        <v>5</v>
      </c>
      <c r="C155">
        <v>78218.508641975321</v>
      </c>
    </row>
    <row r="156" spans="1:3" x14ac:dyDescent="0.3">
      <c r="A156" t="s">
        <v>20</v>
      </c>
      <c r="B156">
        <v>6</v>
      </c>
      <c r="C156">
        <v>0</v>
      </c>
    </row>
    <row r="157" spans="1:3" x14ac:dyDescent="0.3">
      <c r="A157" t="s">
        <v>20</v>
      </c>
      <c r="B157">
        <v>7</v>
      </c>
      <c r="C157">
        <v>0</v>
      </c>
    </row>
    <row r="158" spans="1:3" x14ac:dyDescent="0.3">
      <c r="A158" t="s">
        <v>26</v>
      </c>
      <c r="B158">
        <v>1</v>
      </c>
      <c r="C158">
        <v>119784.88888888891</v>
      </c>
    </row>
    <row r="159" spans="1:3" x14ac:dyDescent="0.3">
      <c r="A159" t="s">
        <v>26</v>
      </c>
      <c r="B159">
        <v>2</v>
      </c>
      <c r="C159">
        <v>95827.911111111127</v>
      </c>
    </row>
    <row r="160" spans="1:3" x14ac:dyDescent="0.3">
      <c r="A160" t="s">
        <v>26</v>
      </c>
      <c r="B160">
        <v>3</v>
      </c>
      <c r="C160">
        <v>71870.933333333349</v>
      </c>
    </row>
    <row r="161" spans="1:3" x14ac:dyDescent="0.3">
      <c r="A161" t="s">
        <v>26</v>
      </c>
      <c r="B161">
        <v>4</v>
      </c>
      <c r="C161">
        <v>47913.955555555571</v>
      </c>
    </row>
    <row r="162" spans="1:3" x14ac:dyDescent="0.3">
      <c r="A162" t="s">
        <v>26</v>
      </c>
      <c r="B162">
        <v>5</v>
      </c>
      <c r="C162">
        <v>23956.977777777789</v>
      </c>
    </row>
    <row r="163" spans="1:3" x14ac:dyDescent="0.3">
      <c r="A163" t="s">
        <v>26</v>
      </c>
      <c r="B163">
        <v>6</v>
      </c>
      <c r="C163">
        <v>0</v>
      </c>
    </row>
    <row r="164" spans="1:3" x14ac:dyDescent="0.3">
      <c r="A164" t="s">
        <v>26</v>
      </c>
      <c r="B164">
        <v>7</v>
      </c>
      <c r="C164">
        <v>0</v>
      </c>
    </row>
    <row r="165" spans="1:3" x14ac:dyDescent="0.3">
      <c r="A165" t="s">
        <v>84</v>
      </c>
      <c r="B165">
        <v>1</v>
      </c>
      <c r="C165">
        <v>17404.641975308641</v>
      </c>
    </row>
    <row r="166" spans="1:3" x14ac:dyDescent="0.3">
      <c r="A166" t="s">
        <v>84</v>
      </c>
      <c r="B166">
        <v>2</v>
      </c>
      <c r="C166">
        <v>13923.713580246913</v>
      </c>
    </row>
    <row r="167" spans="1:3" x14ac:dyDescent="0.3">
      <c r="A167" t="s">
        <v>84</v>
      </c>
      <c r="B167">
        <v>3</v>
      </c>
      <c r="C167">
        <v>10442.785185185185</v>
      </c>
    </row>
    <row r="168" spans="1:3" x14ac:dyDescent="0.3">
      <c r="A168" t="s">
        <v>84</v>
      </c>
      <c r="B168">
        <v>4</v>
      </c>
      <c r="C168">
        <v>6961.8567901234564</v>
      </c>
    </row>
    <row r="169" spans="1:3" x14ac:dyDescent="0.3">
      <c r="A169" t="s">
        <v>84</v>
      </c>
      <c r="B169">
        <v>5</v>
      </c>
      <c r="C169">
        <v>3480.9283950617282</v>
      </c>
    </row>
    <row r="170" spans="1:3" x14ac:dyDescent="0.3">
      <c r="A170" t="s">
        <v>84</v>
      </c>
      <c r="B170">
        <v>6</v>
      </c>
      <c r="C170">
        <v>0</v>
      </c>
    </row>
    <row r="171" spans="1:3" x14ac:dyDescent="0.3">
      <c r="A171" t="s">
        <v>84</v>
      </c>
      <c r="B171">
        <v>7</v>
      </c>
      <c r="C171">
        <v>0</v>
      </c>
    </row>
    <row r="172" spans="1:3" x14ac:dyDescent="0.3">
      <c r="A172" t="s">
        <v>24</v>
      </c>
      <c r="B172">
        <v>1</v>
      </c>
      <c r="C172">
        <v>319682.32098765433</v>
      </c>
    </row>
    <row r="173" spans="1:3" x14ac:dyDescent="0.3">
      <c r="A173" t="s">
        <v>24</v>
      </c>
      <c r="B173">
        <v>2</v>
      </c>
      <c r="C173">
        <v>255745.85679012345</v>
      </c>
    </row>
    <row r="174" spans="1:3" x14ac:dyDescent="0.3">
      <c r="A174" t="s">
        <v>24</v>
      </c>
      <c r="B174">
        <v>3</v>
      </c>
      <c r="C174">
        <v>191809.39259259257</v>
      </c>
    </row>
    <row r="175" spans="1:3" x14ac:dyDescent="0.3">
      <c r="A175" t="s">
        <v>24</v>
      </c>
      <c r="B175">
        <v>4</v>
      </c>
      <c r="C175">
        <v>127872.92839506171</v>
      </c>
    </row>
    <row r="176" spans="1:3" x14ac:dyDescent="0.3">
      <c r="A176" t="s">
        <v>24</v>
      </c>
      <c r="B176">
        <v>5</v>
      </c>
      <c r="C176">
        <v>63936.464197530848</v>
      </c>
    </row>
    <row r="177" spans="1:3" x14ac:dyDescent="0.3">
      <c r="A177" t="s">
        <v>24</v>
      </c>
      <c r="B177">
        <v>6</v>
      </c>
      <c r="C177">
        <v>0</v>
      </c>
    </row>
    <row r="178" spans="1:3" x14ac:dyDescent="0.3">
      <c r="A178" t="s">
        <v>24</v>
      </c>
      <c r="B178">
        <v>7</v>
      </c>
      <c r="C17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D7E641A7C6DC643BD6AA67ED4899C86" ma:contentTypeVersion="14" ma:contentTypeDescription="Opprett et nytt dokument." ma:contentTypeScope="" ma:versionID="4cd9b23512e5ed5f06fd653b087fad24">
  <xsd:schema xmlns:xsd="http://www.w3.org/2001/XMLSchema" xmlns:xs="http://www.w3.org/2001/XMLSchema" xmlns:p="http://schemas.microsoft.com/office/2006/metadata/properties" xmlns:ns2="1603ae16-0075-49fc-8eb8-355ddc15d60c" xmlns:ns3="5ad9d0b0-d7b7-41ff-b881-929c6caa05f1" targetNamespace="http://schemas.microsoft.com/office/2006/metadata/properties" ma:root="true" ma:fieldsID="a0fd60b66c697f161fb7f5dd5e750562" ns2:_="" ns3:_="">
    <xsd:import namespace="1603ae16-0075-49fc-8eb8-355ddc15d60c"/>
    <xsd:import namespace="5ad9d0b0-d7b7-41ff-b881-929c6caa05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3ae16-0075-49fc-8eb8-355ddc15d6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emerkelapper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9d0b0-d7b7-41ff-b881-929c6caa05f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0485b93-1730-45c0-b4e6-1f7d9ffdc4f4}" ma:internalName="TaxCatchAll" ma:showField="CatchAllData" ma:web="5ad9d0b0-d7b7-41ff-b881-929c6caa05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12B869-8A77-4BF9-A98C-6F15561BEB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03ae16-0075-49fc-8eb8-355ddc15d60c"/>
    <ds:schemaRef ds:uri="5ad9d0b0-d7b7-41ff-b881-929c6caa05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95CF92-D03B-40AB-B90D-CD0FE687AD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ShedCost</vt:lpstr>
      <vt:lpstr>Steel_Plants</vt:lpstr>
      <vt:lpstr>Steel_PlantLifetime</vt:lpstr>
      <vt:lpstr>Steel_InitialCapacity</vt:lpstr>
      <vt:lpstr>Steel_ScaleFactorInitialCap</vt:lpstr>
      <vt:lpstr>Steel_InvCost</vt:lpstr>
      <vt:lpstr>Steel_FixedOM</vt:lpstr>
      <vt:lpstr>Steel_VarOpex</vt:lpstr>
      <vt:lpstr>Steel_CoalConsumption</vt:lpstr>
      <vt:lpstr>Steel_HydrogenConsumption</vt:lpstr>
      <vt:lpstr>Steel_BioConsumption</vt:lpstr>
      <vt:lpstr>Steel_OilConsumption</vt:lpstr>
      <vt:lpstr>Steel_ElConsumption</vt:lpstr>
      <vt:lpstr>Steel_CO2Emissions</vt:lpstr>
      <vt:lpstr>Steel_CO2Captured</vt:lpstr>
      <vt:lpstr>Steel_YearlyProduction</vt:lpstr>
      <vt:lpstr>Cement_Plants</vt:lpstr>
      <vt:lpstr>Cement_PlantLifetime</vt:lpstr>
      <vt:lpstr>Cement_InitialCapacity</vt:lpstr>
      <vt:lpstr>Cement_ScaleFactorInitialCap</vt:lpstr>
      <vt:lpstr>Cement_InvCost</vt:lpstr>
      <vt:lpstr>Cement_FixedOM</vt:lpstr>
      <vt:lpstr>Cement_FuelConsumption</vt:lpstr>
      <vt:lpstr>Cement_CO2CaptureRate</vt:lpstr>
      <vt:lpstr>Cement_ElConsumption</vt:lpstr>
      <vt:lpstr>Cement_YearlyProduction</vt:lpstr>
      <vt:lpstr>Ammonia_Plants</vt:lpstr>
      <vt:lpstr>Ammonia_PlantLifetime</vt:lpstr>
      <vt:lpstr>Ammonia_InitialCapacity</vt:lpstr>
      <vt:lpstr>Ammonia_ScaleFactorInitialCap</vt:lpstr>
      <vt:lpstr>Ammonia_InvCost</vt:lpstr>
      <vt:lpstr>Ammonia_FixedOM</vt:lpstr>
      <vt:lpstr>Ammonia_FeedstockConsumption</vt:lpstr>
      <vt:lpstr>Ammonia_ElConsumption</vt:lpstr>
      <vt:lpstr>Ammonia_YearlyProduction</vt:lpstr>
      <vt:lpstr>Refinery_HydrogenConsumption</vt:lpstr>
      <vt:lpstr>Refinery_HeatConsumption</vt:lpstr>
      <vt:lpstr>Refinery_YearlyProduction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Frederik Dahl Nielsen</cp:lastModifiedBy>
  <dcterms:created xsi:type="dcterms:W3CDTF">2024-03-04T17:34:48Z</dcterms:created>
  <dcterms:modified xsi:type="dcterms:W3CDTF">2026-03-26T13:51:21Z</dcterms:modified>
</cp:coreProperties>
</file>