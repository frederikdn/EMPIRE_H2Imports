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4" documentId="13_ncr:1_{75C05B08-AE51-44FF-B1B1-6A52C4913631}" xr6:coauthVersionLast="47" xr6:coauthVersionMax="47" xr10:uidLastSave="{4DB708AD-1B46-419D-A978-434EBBD55114}"/>
  <bookViews>
    <workbookView xWindow="57480" yWindow="2595" windowWidth="38640" windowHeight="21120" tabRatio="855" xr2:uid="{00000000-000D-0000-FFFF-FFFF00000000}"/>
  </bookViews>
  <sheets>
    <sheet name="ElectricAnnualDemand" sheetId="15" r:id="rId1"/>
    <sheet name="NodeLostLoadCost" sheetId="2" r:id="rId2"/>
    <sheet name="HydroGenMaxAnnualProduction" sheetId="10" r:id="rId3"/>
    <sheet name="Latitude" sheetId="11" r:id="rId4"/>
    <sheet name="Longitude" sheetId="13" r:id="rId5"/>
  </sheets>
  <definedNames>
    <definedName name="_xlnm._FilterDatabase" localSheetId="1" hidden="1">NodeLostLoadCost!$A$3:$C$3</definedName>
    <definedName name="genCapAvail">#REF!</definedName>
    <definedName name="genCapAvail2">#REF!</definedName>
    <definedName name="maxRegHdro">#REF!</definedName>
    <definedName name="maxRegHydro">#REF!</definedName>
    <definedName name="maxRegHydroGen">#REF!</definedName>
    <definedName name="nodeLostLoadCost">#REF!</definedName>
    <definedName name="sload">#REF!</definedName>
    <definedName name="sload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67" i="2" l="1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B343" i="2" s="1"/>
  <c r="A291" i="2"/>
  <c r="A343" i="2" s="1"/>
  <c r="B287" i="2"/>
  <c r="A274" i="2"/>
  <c r="B273" i="2"/>
  <c r="A273" i="2"/>
  <c r="B259" i="2"/>
  <c r="A254" i="2"/>
  <c r="B232" i="2"/>
  <c r="B284" i="2" s="1"/>
  <c r="A225" i="2"/>
  <c r="A277" i="2" s="1"/>
  <c r="B207" i="2"/>
  <c r="A207" i="2"/>
  <c r="A259" i="2" s="1"/>
  <c r="B206" i="2"/>
  <c r="B258" i="2" s="1"/>
  <c r="A206" i="2"/>
  <c r="A258" i="2" s="1"/>
  <c r="B205" i="2"/>
  <c r="B257" i="2" s="1"/>
  <c r="B200" i="2"/>
  <c r="B252" i="2" s="1"/>
  <c r="A200" i="2"/>
  <c r="A252" i="2" s="1"/>
  <c r="A194" i="2"/>
  <c r="A246" i="2" s="1"/>
  <c r="B193" i="2"/>
  <c r="B245" i="2" s="1"/>
  <c r="A193" i="2"/>
  <c r="A245" i="2" s="1"/>
  <c r="B192" i="2"/>
  <c r="B244" i="2" s="1"/>
  <c r="A192" i="2"/>
  <c r="A244" i="2" s="1"/>
  <c r="B187" i="2"/>
  <c r="B239" i="2" s="1"/>
  <c r="A187" i="2"/>
  <c r="A239" i="2" s="1"/>
  <c r="B180" i="2"/>
  <c r="A180" i="2"/>
  <c r="A232" i="2" s="1"/>
  <c r="A284" i="2" s="1"/>
  <c r="A174" i="2"/>
  <c r="A226" i="2" s="1"/>
  <c r="A278" i="2" s="1"/>
  <c r="B173" i="2"/>
  <c r="B225" i="2" s="1"/>
  <c r="B277" i="2" s="1"/>
  <c r="A173" i="2"/>
  <c r="B172" i="2"/>
  <c r="B224" i="2" s="1"/>
  <c r="B276" i="2" s="1"/>
  <c r="A172" i="2"/>
  <c r="A224" i="2" s="1"/>
  <c r="A276" i="2" s="1"/>
  <c r="B167" i="2"/>
  <c r="B219" i="2" s="1"/>
  <c r="B271" i="2" s="1"/>
  <c r="A167" i="2"/>
  <c r="A219" i="2" s="1"/>
  <c r="A271" i="2" s="1"/>
  <c r="B160" i="2"/>
  <c r="B212" i="2" s="1"/>
  <c r="B264" i="2" s="1"/>
  <c r="A160" i="2"/>
  <c r="A212" i="2" s="1"/>
  <c r="A264" i="2" s="1"/>
  <c r="B159" i="2"/>
  <c r="B211" i="2" s="1"/>
  <c r="B263" i="2" s="1"/>
  <c r="A159" i="2"/>
  <c r="A211" i="2" s="1"/>
  <c r="A263" i="2" s="1"/>
  <c r="B158" i="2"/>
  <c r="B210" i="2" s="1"/>
  <c r="B262" i="2" s="1"/>
  <c r="B155" i="2"/>
  <c r="A155" i="2"/>
  <c r="B154" i="2"/>
  <c r="A154" i="2"/>
  <c r="B153" i="2"/>
  <c r="B148" i="2"/>
  <c r="A148" i="2"/>
  <c r="B147" i="2"/>
  <c r="B199" i="2" s="1"/>
  <c r="B251" i="2" s="1"/>
  <c r="A147" i="2"/>
  <c r="A199" i="2" s="1"/>
  <c r="A251" i="2" s="1"/>
  <c r="B146" i="2"/>
  <c r="B198" i="2" s="1"/>
  <c r="B250" i="2" s="1"/>
  <c r="A146" i="2"/>
  <c r="A198" i="2" s="1"/>
  <c r="A250" i="2" s="1"/>
  <c r="B145" i="2"/>
  <c r="B197" i="2" s="1"/>
  <c r="B249" i="2" s="1"/>
  <c r="A142" i="2"/>
  <c r="B141" i="2"/>
  <c r="A141" i="2"/>
  <c r="B140" i="2"/>
  <c r="A140" i="2"/>
  <c r="B139" i="2"/>
  <c r="B191" i="2" s="1"/>
  <c r="B243" i="2" s="1"/>
  <c r="A139" i="2"/>
  <c r="A191" i="2" s="1"/>
  <c r="A243" i="2" s="1"/>
  <c r="B138" i="2"/>
  <c r="B190" i="2" s="1"/>
  <c r="B242" i="2" s="1"/>
  <c r="B135" i="2"/>
  <c r="A135" i="2"/>
  <c r="B134" i="2"/>
  <c r="B186" i="2" s="1"/>
  <c r="B238" i="2" s="1"/>
  <c r="B290" i="2" s="1"/>
  <c r="A134" i="2"/>
  <c r="A186" i="2" s="1"/>
  <c r="A238" i="2" s="1"/>
  <c r="A290" i="2" s="1"/>
  <c r="B133" i="2"/>
  <c r="B185" i="2" s="1"/>
  <c r="B237" i="2" s="1"/>
  <c r="B289" i="2" s="1"/>
  <c r="B128" i="2"/>
  <c r="A128" i="2"/>
  <c r="B127" i="2"/>
  <c r="B179" i="2" s="1"/>
  <c r="B231" i="2" s="1"/>
  <c r="B283" i="2" s="1"/>
  <c r="A127" i="2"/>
  <c r="A179" i="2" s="1"/>
  <c r="A231" i="2" s="1"/>
  <c r="A283" i="2" s="1"/>
  <c r="B126" i="2"/>
  <c r="B178" i="2" s="1"/>
  <c r="B230" i="2" s="1"/>
  <c r="B282" i="2" s="1"/>
  <c r="A126" i="2"/>
  <c r="A178" i="2" s="1"/>
  <c r="A230" i="2" s="1"/>
  <c r="A282" i="2" s="1"/>
  <c r="B125" i="2"/>
  <c r="B177" i="2" s="1"/>
  <c r="B229" i="2" s="1"/>
  <c r="B281" i="2" s="1"/>
  <c r="A125" i="2"/>
  <c r="A177" i="2" s="1"/>
  <c r="A229" i="2" s="1"/>
  <c r="A281" i="2" s="1"/>
  <c r="A122" i="2"/>
  <c r="B121" i="2"/>
  <c r="A121" i="2"/>
  <c r="B120" i="2"/>
  <c r="A120" i="2"/>
  <c r="B115" i="2"/>
  <c r="A115" i="2"/>
  <c r="B114" i="2"/>
  <c r="B166" i="2" s="1"/>
  <c r="B218" i="2" s="1"/>
  <c r="B270" i="2" s="1"/>
  <c r="A114" i="2"/>
  <c r="A166" i="2" s="1"/>
  <c r="A218" i="2" s="1"/>
  <c r="A270" i="2" s="1"/>
  <c r="B113" i="2"/>
  <c r="B165" i="2" s="1"/>
  <c r="B217" i="2" s="1"/>
  <c r="B269" i="2" s="1"/>
  <c r="A113" i="2"/>
  <c r="A165" i="2" s="1"/>
  <c r="A217" i="2" s="1"/>
  <c r="A269" i="2" s="1"/>
  <c r="B112" i="2"/>
  <c r="B164" i="2" s="1"/>
  <c r="B216" i="2" s="1"/>
  <c r="B268" i="2" s="1"/>
  <c r="A112" i="2"/>
  <c r="A164" i="2" s="1"/>
  <c r="A216" i="2" s="1"/>
  <c r="A268" i="2" s="1"/>
  <c r="B108" i="2"/>
  <c r="A108" i="2"/>
  <c r="B107" i="2"/>
  <c r="A107" i="2"/>
  <c r="B106" i="2"/>
  <c r="A106" i="2"/>
  <c r="A158" i="2" s="1"/>
  <c r="A210" i="2" s="1"/>
  <c r="A262" i="2" s="1"/>
  <c r="B105" i="2"/>
  <c r="B157" i="2" s="1"/>
  <c r="B209" i="2" s="1"/>
  <c r="B261" i="2" s="1"/>
  <c r="A105" i="2"/>
  <c r="A157" i="2" s="1"/>
  <c r="A209" i="2" s="1"/>
  <c r="A261" i="2" s="1"/>
  <c r="B104" i="2"/>
  <c r="B156" i="2" s="1"/>
  <c r="B208" i="2" s="1"/>
  <c r="B260" i="2" s="1"/>
  <c r="A104" i="2"/>
  <c r="A156" i="2" s="1"/>
  <c r="A208" i="2" s="1"/>
  <c r="A260" i="2" s="1"/>
  <c r="B103" i="2"/>
  <c r="A103" i="2"/>
  <c r="B102" i="2"/>
  <c r="A102" i="2"/>
  <c r="B101" i="2"/>
  <c r="A101" i="2"/>
  <c r="A153" i="2" s="1"/>
  <c r="A205" i="2" s="1"/>
  <c r="A257" i="2" s="1"/>
  <c r="B100" i="2"/>
  <c r="B152" i="2" s="1"/>
  <c r="B204" i="2" s="1"/>
  <c r="B256" i="2" s="1"/>
  <c r="A100" i="2"/>
  <c r="A152" i="2" s="1"/>
  <c r="A204" i="2" s="1"/>
  <c r="A256" i="2" s="1"/>
  <c r="B99" i="2"/>
  <c r="B151" i="2" s="1"/>
  <c r="B203" i="2" s="1"/>
  <c r="B255" i="2" s="1"/>
  <c r="A99" i="2"/>
  <c r="A151" i="2" s="1"/>
  <c r="A203" i="2" s="1"/>
  <c r="A255" i="2" s="1"/>
  <c r="B98" i="2"/>
  <c r="B150" i="2" s="1"/>
  <c r="B202" i="2" s="1"/>
  <c r="B254" i="2" s="1"/>
  <c r="A98" i="2"/>
  <c r="A150" i="2" s="1"/>
  <c r="A202" i="2" s="1"/>
  <c r="B97" i="2"/>
  <c r="B149" i="2" s="1"/>
  <c r="B201" i="2" s="1"/>
  <c r="B253" i="2" s="1"/>
  <c r="A97" i="2"/>
  <c r="A149" i="2" s="1"/>
  <c r="A201" i="2" s="1"/>
  <c r="A253" i="2" s="1"/>
  <c r="B96" i="2"/>
  <c r="A96" i="2"/>
  <c r="B95" i="2"/>
  <c r="A95" i="2"/>
  <c r="B94" i="2"/>
  <c r="A94" i="2"/>
  <c r="B93" i="2"/>
  <c r="A93" i="2"/>
  <c r="A145" i="2" s="1"/>
  <c r="A197" i="2" s="1"/>
  <c r="A249" i="2" s="1"/>
  <c r="B92" i="2"/>
  <c r="B144" i="2" s="1"/>
  <c r="B196" i="2" s="1"/>
  <c r="B248" i="2" s="1"/>
  <c r="A92" i="2"/>
  <c r="A144" i="2" s="1"/>
  <c r="A196" i="2" s="1"/>
  <c r="A248" i="2" s="1"/>
  <c r="B91" i="2"/>
  <c r="B143" i="2" s="1"/>
  <c r="B195" i="2" s="1"/>
  <c r="B247" i="2" s="1"/>
  <c r="A91" i="2"/>
  <c r="A143" i="2" s="1"/>
  <c r="A195" i="2" s="1"/>
  <c r="A247" i="2" s="1"/>
  <c r="B90" i="2"/>
  <c r="B142" i="2" s="1"/>
  <c r="B194" i="2" s="1"/>
  <c r="B246" i="2" s="1"/>
  <c r="A90" i="2"/>
  <c r="B89" i="2"/>
  <c r="A89" i="2"/>
  <c r="B88" i="2"/>
  <c r="A88" i="2"/>
  <c r="B87" i="2"/>
  <c r="A87" i="2"/>
  <c r="B86" i="2"/>
  <c r="A86" i="2"/>
  <c r="A138" i="2" s="1"/>
  <c r="A190" i="2" s="1"/>
  <c r="A242" i="2" s="1"/>
  <c r="B85" i="2"/>
  <c r="B137" i="2" s="1"/>
  <c r="B189" i="2" s="1"/>
  <c r="B241" i="2" s="1"/>
  <c r="A85" i="2"/>
  <c r="A137" i="2" s="1"/>
  <c r="A189" i="2" s="1"/>
  <c r="A241" i="2" s="1"/>
  <c r="B84" i="2"/>
  <c r="B136" i="2" s="1"/>
  <c r="B188" i="2" s="1"/>
  <c r="B240" i="2" s="1"/>
  <c r="A84" i="2"/>
  <c r="A136" i="2" s="1"/>
  <c r="A188" i="2" s="1"/>
  <c r="A240" i="2" s="1"/>
  <c r="B83" i="2"/>
  <c r="A83" i="2"/>
  <c r="B82" i="2"/>
  <c r="A82" i="2"/>
  <c r="B81" i="2"/>
  <c r="A81" i="2"/>
  <c r="A133" i="2" s="1"/>
  <c r="A185" i="2" s="1"/>
  <c r="A237" i="2" s="1"/>
  <c r="A289" i="2" s="1"/>
  <c r="B80" i="2"/>
  <c r="B132" i="2" s="1"/>
  <c r="B184" i="2" s="1"/>
  <c r="B236" i="2" s="1"/>
  <c r="B288" i="2" s="1"/>
  <c r="A80" i="2"/>
  <c r="A132" i="2" s="1"/>
  <c r="A184" i="2" s="1"/>
  <c r="A236" i="2" s="1"/>
  <c r="A288" i="2" s="1"/>
  <c r="B79" i="2"/>
  <c r="B131" i="2" s="1"/>
  <c r="B183" i="2" s="1"/>
  <c r="B235" i="2" s="1"/>
  <c r="A79" i="2"/>
  <c r="A131" i="2" s="1"/>
  <c r="A183" i="2" s="1"/>
  <c r="A235" i="2" s="1"/>
  <c r="A287" i="2" s="1"/>
  <c r="B78" i="2"/>
  <c r="B130" i="2" s="1"/>
  <c r="B182" i="2" s="1"/>
  <c r="B234" i="2" s="1"/>
  <c r="B286" i="2" s="1"/>
  <c r="A78" i="2"/>
  <c r="A130" i="2" s="1"/>
  <c r="A182" i="2" s="1"/>
  <c r="A234" i="2" s="1"/>
  <c r="A286" i="2" s="1"/>
  <c r="B77" i="2"/>
  <c r="B129" i="2" s="1"/>
  <c r="B181" i="2" s="1"/>
  <c r="B233" i="2" s="1"/>
  <c r="B285" i="2" s="1"/>
  <c r="A77" i="2"/>
  <c r="A129" i="2" s="1"/>
  <c r="A181" i="2" s="1"/>
  <c r="A233" i="2" s="1"/>
  <c r="A285" i="2" s="1"/>
  <c r="B76" i="2"/>
  <c r="A76" i="2"/>
  <c r="B75" i="2"/>
  <c r="A75" i="2"/>
  <c r="B74" i="2"/>
  <c r="A74" i="2"/>
  <c r="B73" i="2"/>
  <c r="A73" i="2"/>
  <c r="B72" i="2"/>
  <c r="B124" i="2" s="1"/>
  <c r="B176" i="2" s="1"/>
  <c r="B228" i="2" s="1"/>
  <c r="B280" i="2" s="1"/>
  <c r="A72" i="2"/>
  <c r="A124" i="2" s="1"/>
  <c r="A176" i="2" s="1"/>
  <c r="A228" i="2" s="1"/>
  <c r="A280" i="2" s="1"/>
  <c r="B71" i="2"/>
  <c r="B123" i="2" s="1"/>
  <c r="B175" i="2" s="1"/>
  <c r="B227" i="2" s="1"/>
  <c r="B279" i="2" s="1"/>
  <c r="A71" i="2"/>
  <c r="A123" i="2" s="1"/>
  <c r="A175" i="2" s="1"/>
  <c r="A227" i="2" s="1"/>
  <c r="A279" i="2" s="1"/>
  <c r="B70" i="2"/>
  <c r="B122" i="2" s="1"/>
  <c r="B174" i="2" s="1"/>
  <c r="B226" i="2" s="1"/>
  <c r="B278" i="2" s="1"/>
  <c r="A70" i="2"/>
  <c r="B69" i="2"/>
  <c r="A69" i="2"/>
  <c r="B68" i="2"/>
  <c r="A68" i="2"/>
  <c r="B67" i="2"/>
  <c r="B119" i="2" s="1"/>
  <c r="B171" i="2" s="1"/>
  <c r="B223" i="2" s="1"/>
  <c r="B275" i="2" s="1"/>
  <c r="A67" i="2"/>
  <c r="A119" i="2" s="1"/>
  <c r="A171" i="2" s="1"/>
  <c r="A223" i="2" s="1"/>
  <c r="A275" i="2" s="1"/>
  <c r="B66" i="2"/>
  <c r="B118" i="2" s="1"/>
  <c r="B170" i="2" s="1"/>
  <c r="B222" i="2" s="1"/>
  <c r="B274" i="2" s="1"/>
  <c r="A66" i="2"/>
  <c r="A118" i="2" s="1"/>
  <c r="A170" i="2" s="1"/>
  <c r="A222" i="2" s="1"/>
  <c r="B65" i="2"/>
  <c r="B117" i="2" s="1"/>
  <c r="B169" i="2" s="1"/>
  <c r="B221" i="2" s="1"/>
  <c r="A65" i="2"/>
  <c r="A117" i="2" s="1"/>
  <c r="A169" i="2" s="1"/>
  <c r="A221" i="2" s="1"/>
  <c r="B64" i="2"/>
  <c r="B116" i="2" s="1"/>
  <c r="B168" i="2" s="1"/>
  <c r="B220" i="2" s="1"/>
  <c r="B272" i="2" s="1"/>
  <c r="A64" i="2"/>
  <c r="A116" i="2" s="1"/>
  <c r="A168" i="2" s="1"/>
  <c r="A220" i="2" s="1"/>
  <c r="A272" i="2" s="1"/>
  <c r="B63" i="2"/>
  <c r="A63" i="2"/>
  <c r="B62" i="2"/>
  <c r="A62" i="2"/>
  <c r="B61" i="2"/>
  <c r="A61" i="2"/>
  <c r="B60" i="2"/>
  <c r="A60" i="2"/>
  <c r="B59" i="2"/>
  <c r="B111" i="2" s="1"/>
  <c r="B163" i="2" s="1"/>
  <c r="B215" i="2" s="1"/>
  <c r="B267" i="2" s="1"/>
  <c r="A59" i="2"/>
  <c r="A111" i="2" s="1"/>
  <c r="A163" i="2" s="1"/>
  <c r="A215" i="2" s="1"/>
  <c r="A267" i="2" s="1"/>
  <c r="B58" i="2"/>
  <c r="B110" i="2" s="1"/>
  <c r="B162" i="2" s="1"/>
  <c r="B214" i="2" s="1"/>
  <c r="B266" i="2" s="1"/>
  <c r="A58" i="2"/>
  <c r="A110" i="2" s="1"/>
  <c r="A162" i="2" s="1"/>
  <c r="A214" i="2" s="1"/>
  <c r="A266" i="2" s="1"/>
  <c r="B57" i="2"/>
  <c r="B109" i="2" s="1"/>
  <c r="B161" i="2" s="1"/>
  <c r="B213" i="2" s="1"/>
  <c r="B265" i="2" s="1"/>
  <c r="A57" i="2"/>
  <c r="A109" i="2" s="1"/>
  <c r="A161" i="2" s="1"/>
  <c r="A213" i="2" s="1"/>
  <c r="A265" i="2" s="1"/>
  <c r="B56" i="2"/>
  <c r="A56" i="2"/>
</calcChain>
</file>

<file path=xl/sharedStrings.xml><?xml version="1.0" encoding="utf-8"?>
<sst xmlns="http://schemas.openxmlformats.org/spreadsheetml/2006/main" count="473" uniqueCount="69">
  <si>
    <t>Nodes</t>
  </si>
  <si>
    <t>Germany</t>
  </si>
  <si>
    <t>Denmark</t>
  </si>
  <si>
    <t>Austria</t>
  </si>
  <si>
    <t>Bosnia H</t>
  </si>
  <si>
    <t>Belgium</t>
  </si>
  <si>
    <t>Bulgaria</t>
  </si>
  <si>
    <t>Switzerland</t>
  </si>
  <si>
    <t>Czech R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</si>
  <si>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</si>
  <si>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</si>
  <si>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</si>
  <si>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</si>
  <si>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</si>
  <si>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</si>
  <si>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</si>
  <si>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</si>
  <si>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</si>
  <si>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</si>
  <si>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</si>
  <si>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</si>
  <si>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</si>
  <si>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</si>
  <si>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</si>
  <si>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</si>
  <si>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</si>
  <si>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</si>
  <si>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</si>
  <si>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</si>
  <si>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</si>
  <si>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</si>
  <si>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Period</t>
  </si>
  <si>
    <t>NO1</t>
  </si>
  <si>
    <t>NO2</t>
  </si>
  <si>
    <t>NO3</t>
  </si>
  <si>
    <t>NO4</t>
  </si>
  <si>
    <t>NO5</t>
  </si>
  <si>
    <t>NodeLostLoadCost</t>
    <phoneticPr fontId="1" type="noConversion"/>
  </si>
  <si>
    <t>ElectricAdjustment in MWh per hour</t>
  </si>
  <si>
    <t>Source: London School of Economics report 'The Value of Lost Load (VoLL) for Electricity in Great Britain' on 16,940 £/MWh (converted to €/MWh by multiplying with a factor 1.3)</t>
  </si>
  <si>
    <t>Description: The cost of not generating electricity in an hour (default: 22 000)</t>
  </si>
  <si>
    <t>Description: Annual demand in nodes used to adjust hourly load profile (such that the integral/sum is equal to the annual demand) (default: 0)</t>
  </si>
  <si>
    <t>HydroGenMaxAnnualProduction in MWh per year</t>
  </si>
  <si>
    <t>Decription: HydroGenerator With Reservoir Maximum Expected Annual Production</t>
  </si>
  <si>
    <t>Source: National Renewable Energy Action Plan (NREAP) from EEA, ENSTO-E, Eurelectric</t>
  </si>
  <si>
    <t>Moray Firth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</si>
  <si>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</si>
  <si>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</si>
  <si>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</si>
  <si>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</si>
  <si>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</si>
  <si>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</si>
  <si>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</si>
  <si>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</si>
  <si>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Helgoländer Bucht</t>
  </si>
  <si>
    <t>Nordsøen</t>
  </si>
  <si>
    <t>Utsira Nord</t>
  </si>
  <si>
    <t>Sørlige Nordsjø I</t>
  </si>
  <si>
    <t>Sørlige Nordsjø II</t>
  </si>
  <si>
    <t>Longitude</t>
  </si>
  <si>
    <t>Latitude</t>
  </si>
  <si>
    <t>Node</t>
  </si>
  <si>
    <t>Source: Found manually via www.latlong.net</t>
  </si>
  <si>
    <t>Description: Latitude of nodes for map plotting</t>
  </si>
  <si>
    <t>Description: Longitude of nodes for map plotting</t>
  </si>
  <si>
    <t>Energyhub EU</t>
  </si>
  <si>
    <t>Sleipner</t>
  </si>
  <si>
    <t>Draupner</t>
  </si>
  <si>
    <t>Source: TYNDP 2024 (Transmission and Prosumer nodes), Distributed Energy Scenario, Climate year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</si>
</sst>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.0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5"/>
      <color rgb="FF333333"/>
      <name val="Arial"/>
      <family val="2"/>
    </font>
    <font>
      <sz val="11"/>
      <color rgb="FF000000"/>
      <name val="Calibri"/>
      <family val="2"/>
      <scheme val="minor"/>
    </font>
    <font>
      <sz val="9.8000000000000007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1" applyNumberFormat="1" applyFont="1"/>
    <xf numFmtId="0" fontId="3" fillId="0" borderId="0" xfId="0" applyFont="1"/>
    <xf numFmtId="0" fontId="4" fillId="0" borderId="0" xfId="0" applyFont="1"/>
    <xf numFmtId="165" fontId="0" fillId="0" borderId="0" xfId="0" quotePrefix="1" applyNumberFormat="1"/>
    <xf numFmtId="0" fontId="5" fillId="0" borderId="0" xfId="0" applyFont="1" applyAlignment="1">
      <alignment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2AC8-18F1-4443-916C-AB042ECF7F2E}">
  <dimension ref="A1:C248"/>
  <sheetViews>
    <sheetView tabSelected="1" zoomScaleNormal="100" workbookViewId="0">
      <selection activeCell="K7" sqref="K7"/>
    </sheetView>
  </sheetViews>
  <sheetFormatPr defaultRowHeight="14.4"/>
  <cols>
    <col min="3" max="3" width="30.88671875" bestFit="1" customWidth="1"/>
  </cols>
  <sheetData>
    <row r="1" spans="1:3">
      <c r="A1" t="s">
        <v>68</v>
      </c>
    </row>
    <row r="2" spans="1:3">
      <c r="A2" t="s">
        <v>41</v>
      </c>
    </row>
    <row r="3" spans="1:3">
      <c r="A3" t="s">
        <v>0</v>
      </c>
      <c r="B3" t="s">
        <v>31</v>
      </c>
      <c r="C3" t="s">
        <v>38</v>
      </c>
    </row>
    <row r="4" spans="1:3">
      <c r="A4" t="s">
        <v>3</v>
      </c>
      <c r="B4">
        <v>1</v>
      </c>
      <c r="C4" s="4">
        <v>76168406.104791671</v>
      </c>
    </row>
    <row r="5" spans="1:3">
      <c r="A5" t="s">
        <v>4</v>
      </c>
      <c r="B5">
        <v>1</v>
      </c>
      <c r="C5" s="4">
        <v>12963180.676918212</v>
      </c>
    </row>
    <row r="6" spans="1:3">
      <c r="A6" t="s">
        <v>5</v>
      </c>
      <c r="B6">
        <v>1</v>
      </c>
      <c r="C6" s="4">
        <v>92682000.124981046</v>
      </c>
    </row>
    <row r="7" spans="1:3">
      <c r="A7" t="s">
        <v>6</v>
      </c>
      <c r="B7">
        <v>1</v>
      </c>
      <c r="C7" s="4">
        <v>37419233.824620731</v>
      </c>
    </row>
    <row r="8" spans="1:3">
      <c r="A8" t="s">
        <v>7</v>
      </c>
      <c r="B8">
        <v>1</v>
      </c>
      <c r="C8" s="4">
        <v>73399949.196328953</v>
      </c>
    </row>
    <row r="9" spans="1:3">
      <c r="A9" t="s">
        <v>8</v>
      </c>
      <c r="B9">
        <v>1</v>
      </c>
      <c r="C9" s="4">
        <v>74413821.175066382</v>
      </c>
    </row>
    <row r="10" spans="1:3">
      <c r="A10" t="s">
        <v>1</v>
      </c>
      <c r="B10">
        <v>1</v>
      </c>
      <c r="C10" s="4">
        <v>647095573.43577898</v>
      </c>
    </row>
    <row r="11" spans="1:3">
      <c r="A11" t="s">
        <v>2</v>
      </c>
      <c r="B11">
        <v>1</v>
      </c>
      <c r="C11" s="4">
        <v>38045561.711525716</v>
      </c>
    </row>
    <row r="12" spans="1:3">
      <c r="A12" t="s">
        <v>9</v>
      </c>
      <c r="B12">
        <v>1</v>
      </c>
      <c r="C12" s="4">
        <v>9914116.146726124</v>
      </c>
    </row>
    <row r="13" spans="1:3">
      <c r="A13" t="s">
        <v>10</v>
      </c>
      <c r="B13">
        <v>1</v>
      </c>
      <c r="C13" s="4">
        <v>264679916.29918078</v>
      </c>
    </row>
    <row r="14" spans="1:3">
      <c r="A14" t="s">
        <v>11</v>
      </c>
      <c r="B14">
        <v>1</v>
      </c>
      <c r="C14" s="4">
        <v>87869880.553090632</v>
      </c>
    </row>
    <row r="15" spans="1:3">
      <c r="A15" t="s">
        <v>12</v>
      </c>
      <c r="B15">
        <v>1</v>
      </c>
      <c r="C15" s="4">
        <v>470193968.97824287</v>
      </c>
    </row>
    <row r="16" spans="1:3">
      <c r="A16" t="s">
        <v>13</v>
      </c>
      <c r="B16">
        <v>1</v>
      </c>
      <c r="C16" s="4">
        <v>286846617.22262168</v>
      </c>
    </row>
    <row r="17" spans="1:3">
      <c r="A17" t="s">
        <v>14</v>
      </c>
      <c r="B17">
        <v>1</v>
      </c>
      <c r="C17" s="4">
        <v>54483764.682339355</v>
      </c>
    </row>
    <row r="18" spans="1:3">
      <c r="A18" t="s">
        <v>15</v>
      </c>
      <c r="B18">
        <v>1</v>
      </c>
      <c r="C18" s="4">
        <v>17543594.7630358</v>
      </c>
    </row>
    <row r="19" spans="1:3">
      <c r="A19" t="s">
        <v>16</v>
      </c>
      <c r="B19">
        <v>1</v>
      </c>
      <c r="C19" s="4">
        <v>47545269.975289963</v>
      </c>
    </row>
    <row r="20" spans="1:3">
      <c r="A20" t="s">
        <v>17</v>
      </c>
      <c r="B20">
        <v>1</v>
      </c>
      <c r="C20" s="4">
        <v>34244948.033630274</v>
      </c>
    </row>
    <row r="21" spans="1:3">
      <c r="A21" t="s">
        <v>18</v>
      </c>
      <c r="B21">
        <v>1</v>
      </c>
      <c r="C21" s="4">
        <v>366263159.17154872</v>
      </c>
    </row>
    <row r="22" spans="1:3">
      <c r="A22" t="s">
        <v>19</v>
      </c>
      <c r="B22">
        <v>1</v>
      </c>
      <c r="C22" s="4">
        <v>13861703.652455352</v>
      </c>
    </row>
    <row r="23" spans="1:3">
      <c r="A23" t="s">
        <v>20</v>
      </c>
      <c r="B23">
        <v>1</v>
      </c>
      <c r="C23" s="4">
        <v>6903454.4747271538</v>
      </c>
    </row>
    <row r="24" spans="1:3">
      <c r="A24" t="s">
        <v>21</v>
      </c>
      <c r="B24">
        <v>1</v>
      </c>
      <c r="C24" s="4">
        <v>9009222.3755364101</v>
      </c>
    </row>
    <row r="25" spans="1:3">
      <c r="A25" t="s">
        <v>22</v>
      </c>
      <c r="B25">
        <v>1</v>
      </c>
      <c r="C25" s="4">
        <v>10231613.246094169</v>
      </c>
    </row>
    <row r="26" spans="1:3">
      <c r="A26" t="s">
        <v>23</v>
      </c>
      <c r="B26">
        <v>1</v>
      </c>
      <c r="C26" s="4">
        <v>122869308.4330063</v>
      </c>
    </row>
    <row r="27" spans="1:3">
      <c r="A27" t="s">
        <v>32</v>
      </c>
      <c r="B27">
        <v>1</v>
      </c>
      <c r="C27" s="4">
        <v>33788035.634638727</v>
      </c>
    </row>
    <row r="28" spans="1:3">
      <c r="A28" t="s">
        <v>33</v>
      </c>
      <c r="B28">
        <v>1</v>
      </c>
      <c r="C28" s="4">
        <v>32394391.545110673</v>
      </c>
    </row>
    <row r="29" spans="1:3">
      <c r="A29" t="s">
        <v>34</v>
      </c>
      <c r="B29">
        <v>1</v>
      </c>
      <c r="C29" s="4">
        <v>20140503.413944211</v>
      </c>
    </row>
    <row r="30" spans="1:3">
      <c r="A30" t="s">
        <v>35</v>
      </c>
      <c r="B30">
        <v>1</v>
      </c>
      <c r="C30" s="4">
        <v>16314106.853504855</v>
      </c>
    </row>
    <row r="31" spans="1:3">
      <c r="A31" t="s">
        <v>36</v>
      </c>
      <c r="B31">
        <v>1</v>
      </c>
      <c r="C31" s="4">
        <v>15330987.076391347</v>
      </c>
    </row>
    <row r="32" spans="1:3">
      <c r="A32" t="s">
        <v>24</v>
      </c>
      <c r="B32">
        <v>1</v>
      </c>
      <c r="C32" s="4">
        <v>178873798.14893246</v>
      </c>
    </row>
    <row r="33" spans="1:3">
      <c r="A33" t="s">
        <v>25</v>
      </c>
      <c r="B33">
        <v>1</v>
      </c>
      <c r="C33" s="4">
        <v>52825556.086541362</v>
      </c>
    </row>
    <row r="34" spans="1:3">
      <c r="A34" t="s">
        <v>26</v>
      </c>
      <c r="B34">
        <v>1</v>
      </c>
      <c r="C34" s="4">
        <v>57996228.980336748</v>
      </c>
    </row>
    <row r="35" spans="1:3">
      <c r="A35" t="s">
        <v>27</v>
      </c>
      <c r="B35">
        <v>1</v>
      </c>
      <c r="C35" s="4">
        <v>43692001.053816259</v>
      </c>
    </row>
    <row r="36" spans="1:3">
      <c r="A36" t="s">
        <v>28</v>
      </c>
      <c r="B36">
        <v>1</v>
      </c>
      <c r="C36" s="4">
        <v>127339989.17100099</v>
      </c>
    </row>
    <row r="37" spans="1:3">
      <c r="A37" t="s">
        <v>29</v>
      </c>
      <c r="B37">
        <v>1</v>
      </c>
      <c r="C37" s="4">
        <v>17078648.079961658</v>
      </c>
    </row>
    <row r="38" spans="1:3">
      <c r="A38" t="s">
        <v>30</v>
      </c>
      <c r="B38">
        <v>1</v>
      </c>
      <c r="C38" s="4">
        <v>31543033.837155078</v>
      </c>
    </row>
    <row r="39" spans="1:3">
      <c r="A39" t="s">
        <v>3</v>
      </c>
      <c r="B39">
        <v>2</v>
      </c>
      <c r="C39" s="4">
        <v>90519697.499235168</v>
      </c>
    </row>
    <row r="40" spans="1:3">
      <c r="A40" t="s">
        <v>4</v>
      </c>
      <c r="B40">
        <v>2</v>
      </c>
      <c r="C40" s="4">
        <v>14369694.218129793</v>
      </c>
    </row>
    <row r="41" spans="1:3">
      <c r="A41" t="s">
        <v>5</v>
      </c>
      <c r="B41">
        <v>2</v>
      </c>
      <c r="C41" s="4">
        <v>112978034.15005407</v>
      </c>
    </row>
    <row r="42" spans="1:3">
      <c r="A42" t="s">
        <v>6</v>
      </c>
      <c r="B42">
        <v>2</v>
      </c>
      <c r="C42" s="4">
        <v>40977953.91915869</v>
      </c>
    </row>
    <row r="43" spans="1:3">
      <c r="A43" t="s">
        <v>7</v>
      </c>
      <c r="B43">
        <v>2</v>
      </c>
      <c r="C43" s="4">
        <v>76449719.16512771</v>
      </c>
    </row>
    <row r="44" spans="1:3">
      <c r="A44" t="s">
        <v>8</v>
      </c>
      <c r="B44">
        <v>2</v>
      </c>
      <c r="C44" s="4">
        <v>85351913.105958298</v>
      </c>
    </row>
    <row r="45" spans="1:3">
      <c r="A45" t="s">
        <v>1</v>
      </c>
      <c r="B45">
        <v>2</v>
      </c>
      <c r="C45" s="4">
        <v>782458277.05327749</v>
      </c>
    </row>
    <row r="46" spans="1:3">
      <c r="A46" t="s">
        <v>2</v>
      </c>
      <c r="B46">
        <v>2</v>
      </c>
      <c r="C46" s="4">
        <v>49753745.613240667</v>
      </c>
    </row>
    <row r="47" spans="1:3">
      <c r="A47" t="s">
        <v>9</v>
      </c>
      <c r="B47">
        <v>2</v>
      </c>
      <c r="C47" s="4">
        <v>11427525.42745587</v>
      </c>
    </row>
    <row r="48" spans="1:3">
      <c r="A48" t="s">
        <v>10</v>
      </c>
      <c r="B48">
        <v>2</v>
      </c>
      <c r="C48" s="4">
        <v>285127786.35592794</v>
      </c>
    </row>
    <row r="49" spans="1:3">
      <c r="A49" t="s">
        <v>11</v>
      </c>
      <c r="B49">
        <v>2</v>
      </c>
      <c r="C49" s="4">
        <v>103009146.48222284</v>
      </c>
    </row>
    <row r="50" spans="1:3">
      <c r="A50" t="s">
        <v>12</v>
      </c>
      <c r="B50">
        <v>2</v>
      </c>
      <c r="C50" s="4">
        <v>519672219.37956911</v>
      </c>
    </row>
    <row r="51" spans="1:3">
      <c r="A51" t="s">
        <v>13</v>
      </c>
      <c r="B51">
        <v>2</v>
      </c>
      <c r="C51" s="4">
        <v>396201511.99912173</v>
      </c>
    </row>
    <row r="52" spans="1:3">
      <c r="A52" t="s">
        <v>14</v>
      </c>
      <c r="B52">
        <v>2</v>
      </c>
      <c r="C52" s="4">
        <v>64737547.763425</v>
      </c>
    </row>
    <row r="53" spans="1:3">
      <c r="A53" t="s">
        <v>15</v>
      </c>
      <c r="B53">
        <v>2</v>
      </c>
      <c r="C53" s="4">
        <v>19162131.734891988</v>
      </c>
    </row>
    <row r="54" spans="1:3">
      <c r="A54" t="s">
        <v>16</v>
      </c>
      <c r="B54">
        <v>2</v>
      </c>
      <c r="C54" s="4">
        <v>66132117.069398172</v>
      </c>
    </row>
    <row r="55" spans="1:3">
      <c r="A55" t="s">
        <v>17</v>
      </c>
      <c r="B55">
        <v>2</v>
      </c>
      <c r="C55" s="4">
        <v>46718876.260056324</v>
      </c>
    </row>
    <row r="56" spans="1:3">
      <c r="A56" t="s">
        <v>18</v>
      </c>
      <c r="B56">
        <v>2</v>
      </c>
      <c r="C56" s="4">
        <v>421006639.59921855</v>
      </c>
    </row>
    <row r="57" spans="1:3">
      <c r="A57" t="s">
        <v>19</v>
      </c>
      <c r="B57">
        <v>2</v>
      </c>
      <c r="C57" s="4">
        <v>18690859.386656377</v>
      </c>
    </row>
    <row r="58" spans="1:3">
      <c r="A58" t="s">
        <v>20</v>
      </c>
      <c r="B58">
        <v>2</v>
      </c>
      <c r="C58" s="4">
        <v>8626565.7896069065</v>
      </c>
    </row>
    <row r="59" spans="1:3">
      <c r="A59" t="s">
        <v>21</v>
      </c>
      <c r="B59">
        <v>2</v>
      </c>
      <c r="C59" s="4">
        <v>10905849.614855785</v>
      </c>
    </row>
    <row r="60" spans="1:3">
      <c r="A60" t="s">
        <v>22</v>
      </c>
      <c r="B60">
        <v>2</v>
      </c>
      <c r="C60" s="4">
        <v>10444007.731268026</v>
      </c>
    </row>
    <row r="61" spans="1:3">
      <c r="A61" t="s">
        <v>23</v>
      </c>
      <c r="B61">
        <v>2</v>
      </c>
      <c r="C61" s="4">
        <v>145327799.32401371</v>
      </c>
    </row>
    <row r="62" spans="1:3">
      <c r="A62" t="s">
        <v>32</v>
      </c>
      <c r="B62">
        <v>2</v>
      </c>
      <c r="C62" s="4">
        <v>36455599.813342877</v>
      </c>
    </row>
    <row r="63" spans="1:3">
      <c r="A63" t="s">
        <v>33</v>
      </c>
      <c r="B63">
        <v>2</v>
      </c>
      <c r="C63" s="4">
        <v>35880508.79187353</v>
      </c>
    </row>
    <row r="64" spans="1:3">
      <c r="A64" t="s">
        <v>34</v>
      </c>
      <c r="B64">
        <v>2</v>
      </c>
      <c r="C64" s="4">
        <v>22295864.997523598</v>
      </c>
    </row>
    <row r="65" spans="1:3">
      <c r="A65" t="s">
        <v>35</v>
      </c>
      <c r="B65">
        <v>2</v>
      </c>
      <c r="C65" s="4">
        <v>18153927.804358173</v>
      </c>
    </row>
    <row r="66" spans="1:3">
      <c r="A66" t="s">
        <v>36</v>
      </c>
      <c r="B66">
        <v>2</v>
      </c>
      <c r="C66" s="4">
        <v>17139347.092864998</v>
      </c>
    </row>
    <row r="67" spans="1:3">
      <c r="A67" t="s">
        <v>24</v>
      </c>
      <c r="B67">
        <v>2</v>
      </c>
      <c r="C67" s="4">
        <v>207945652.88999692</v>
      </c>
    </row>
    <row r="68" spans="1:3">
      <c r="A68" t="s">
        <v>25</v>
      </c>
      <c r="B68">
        <v>2</v>
      </c>
      <c r="C68" s="4">
        <v>57944384.943413869</v>
      </c>
    </row>
    <row r="69" spans="1:3">
      <c r="A69" t="s">
        <v>26</v>
      </c>
      <c r="B69">
        <v>2</v>
      </c>
      <c r="C69" s="4">
        <v>66350784.055533811</v>
      </c>
    </row>
    <row r="70" spans="1:3">
      <c r="A70" t="s">
        <v>27</v>
      </c>
      <c r="B70">
        <v>2</v>
      </c>
      <c r="C70" s="4">
        <v>43377150.287234761</v>
      </c>
    </row>
    <row r="71" spans="1:3">
      <c r="A71" t="s">
        <v>28</v>
      </c>
      <c r="B71">
        <v>2</v>
      </c>
      <c r="C71" s="4">
        <v>136731471.53262505</v>
      </c>
    </row>
    <row r="72" spans="1:3">
      <c r="A72" t="s">
        <v>29</v>
      </c>
      <c r="B72">
        <v>2</v>
      </c>
      <c r="C72" s="4">
        <v>19888742.003473919</v>
      </c>
    </row>
    <row r="73" spans="1:3">
      <c r="A73" t="s">
        <v>30</v>
      </c>
      <c r="B73">
        <v>2</v>
      </c>
      <c r="C73" s="4">
        <v>34838201.353786707</v>
      </c>
    </row>
    <row r="74" spans="1:3">
      <c r="A74" t="s">
        <v>3</v>
      </c>
      <c r="B74">
        <v>3</v>
      </c>
      <c r="C74" s="4">
        <v>106432168.05694753</v>
      </c>
    </row>
    <row r="75" spans="1:3">
      <c r="A75" t="s">
        <v>4</v>
      </c>
      <c r="B75">
        <v>3</v>
      </c>
      <c r="C75" s="4">
        <v>16166789.307437386</v>
      </c>
    </row>
    <row r="76" spans="1:3">
      <c r="A76" t="s">
        <v>5</v>
      </c>
      <c r="B76">
        <v>3</v>
      </c>
      <c r="C76" s="4">
        <v>134206870.26230215</v>
      </c>
    </row>
    <row r="77" spans="1:3">
      <c r="A77" t="s">
        <v>6</v>
      </c>
      <c r="B77">
        <v>3</v>
      </c>
      <c r="C77" s="4">
        <v>42482746.479263403</v>
      </c>
    </row>
    <row r="78" spans="1:3">
      <c r="A78" t="s">
        <v>7</v>
      </c>
      <c r="B78">
        <v>3</v>
      </c>
      <c r="C78" s="4">
        <v>89867193.604702383</v>
      </c>
    </row>
    <row r="79" spans="1:3">
      <c r="A79" t="s">
        <v>8</v>
      </c>
      <c r="B79">
        <v>3</v>
      </c>
      <c r="C79" s="4">
        <v>92193891.625804603</v>
      </c>
    </row>
    <row r="80" spans="1:3">
      <c r="A80" t="s">
        <v>1</v>
      </c>
      <c r="B80">
        <v>3</v>
      </c>
      <c r="C80" s="4">
        <v>866945123.95253074</v>
      </c>
    </row>
    <row r="81" spans="1:3">
      <c r="A81" t="s">
        <v>2</v>
      </c>
      <c r="B81">
        <v>3</v>
      </c>
      <c r="C81" s="4">
        <v>50884178.25074026</v>
      </c>
    </row>
    <row r="82" spans="1:3">
      <c r="A82" t="s">
        <v>9</v>
      </c>
      <c r="B82">
        <v>3</v>
      </c>
      <c r="C82" s="4">
        <v>12349585.824271079</v>
      </c>
    </row>
    <row r="83" spans="1:3">
      <c r="A83" t="s">
        <v>10</v>
      </c>
      <c r="B83">
        <v>3</v>
      </c>
      <c r="C83" s="4">
        <v>306330626.72755176</v>
      </c>
    </row>
    <row r="84" spans="1:3">
      <c r="A84" t="s">
        <v>11</v>
      </c>
      <c r="B84">
        <v>3</v>
      </c>
      <c r="C84" s="4">
        <v>121421910.82074712</v>
      </c>
    </row>
    <row r="85" spans="1:3">
      <c r="A85" t="s">
        <v>12</v>
      </c>
      <c r="B85">
        <v>3</v>
      </c>
      <c r="C85" s="4">
        <v>532390926.68324053</v>
      </c>
    </row>
    <row r="86" spans="1:3">
      <c r="A86" t="s">
        <v>13</v>
      </c>
      <c r="B86">
        <v>3</v>
      </c>
      <c r="C86" s="4">
        <v>492465280.91982985</v>
      </c>
    </row>
    <row r="87" spans="1:3">
      <c r="A87" t="s">
        <v>14</v>
      </c>
      <c r="B87">
        <v>3</v>
      </c>
      <c r="C87" s="4">
        <v>63036652.586229339</v>
      </c>
    </row>
    <row r="88" spans="1:3">
      <c r="A88" t="s">
        <v>15</v>
      </c>
      <c r="B88">
        <v>3</v>
      </c>
      <c r="C88" s="4">
        <v>20081109.337843731</v>
      </c>
    </row>
    <row r="89" spans="1:3">
      <c r="A89" t="s">
        <v>16</v>
      </c>
      <c r="B89">
        <v>3</v>
      </c>
      <c r="C89" s="4">
        <v>70407687.584176049</v>
      </c>
    </row>
    <row r="90" spans="1:3">
      <c r="A90" t="s">
        <v>17</v>
      </c>
      <c r="B90">
        <v>3</v>
      </c>
      <c r="C90" s="4">
        <v>58454340.357256539</v>
      </c>
    </row>
    <row r="91" spans="1:3">
      <c r="A91" t="s">
        <v>18</v>
      </c>
      <c r="B91">
        <v>3</v>
      </c>
      <c r="C91" s="4">
        <v>448882146.88547957</v>
      </c>
    </row>
    <row r="92" spans="1:3">
      <c r="A92" t="s">
        <v>19</v>
      </c>
      <c r="B92">
        <v>3</v>
      </c>
      <c r="C92" s="4">
        <v>20041198.381989222</v>
      </c>
    </row>
    <row r="93" spans="1:3">
      <c r="A93" t="s">
        <v>20</v>
      </c>
      <c r="B93">
        <v>3</v>
      </c>
      <c r="C93" s="4">
        <v>9083644.4508565925</v>
      </c>
    </row>
    <row r="94" spans="1:3">
      <c r="A94" t="s">
        <v>21</v>
      </c>
      <c r="B94">
        <v>3</v>
      </c>
      <c r="C94" s="4">
        <v>11682797.467790056</v>
      </c>
    </row>
    <row r="95" spans="1:3">
      <c r="A95" t="s">
        <v>22</v>
      </c>
      <c r="B95">
        <v>3</v>
      </c>
      <c r="C95" s="4">
        <v>13117519.359922027</v>
      </c>
    </row>
    <row r="96" spans="1:3">
      <c r="A96" t="s">
        <v>23</v>
      </c>
      <c r="B96">
        <v>3</v>
      </c>
      <c r="C96" s="4">
        <v>166447902.23720044</v>
      </c>
    </row>
    <row r="97" spans="1:3">
      <c r="A97" t="s">
        <v>32</v>
      </c>
      <c r="B97">
        <v>3</v>
      </c>
      <c r="C97" s="4">
        <v>36711004.00102251</v>
      </c>
    </row>
    <row r="98" spans="1:3">
      <c r="A98" t="s">
        <v>33</v>
      </c>
      <c r="B98">
        <v>3</v>
      </c>
      <c r="C98" s="4">
        <v>35541617.354921348</v>
      </c>
    </row>
    <row r="99" spans="1:3">
      <c r="A99" t="s">
        <v>34</v>
      </c>
      <c r="B99">
        <v>3</v>
      </c>
      <c r="C99" s="4">
        <v>22100194.920523494</v>
      </c>
    </row>
    <row r="100" spans="1:3">
      <c r="A100" t="s">
        <v>35</v>
      </c>
      <c r="B100">
        <v>3</v>
      </c>
      <c r="C100" s="4">
        <v>17931033.962459069</v>
      </c>
    </row>
    <row r="101" spans="1:3">
      <c r="A101" t="s">
        <v>36</v>
      </c>
      <c r="B101">
        <v>3</v>
      </c>
      <c r="C101" s="4">
        <v>16877074.773865536</v>
      </c>
    </row>
    <row r="102" spans="1:3">
      <c r="A102" t="s">
        <v>24</v>
      </c>
      <c r="B102">
        <v>3</v>
      </c>
      <c r="C102" s="4">
        <v>231917780.36909395</v>
      </c>
    </row>
    <row r="103" spans="1:3">
      <c r="A103" t="s">
        <v>25</v>
      </c>
      <c r="B103">
        <v>3</v>
      </c>
      <c r="C103" s="4">
        <v>71436391.845757946</v>
      </c>
    </row>
    <row r="104" spans="1:3">
      <c r="A104" t="s">
        <v>26</v>
      </c>
      <c r="B104">
        <v>3</v>
      </c>
      <c r="C104" s="4">
        <v>72243413.90837346</v>
      </c>
    </row>
    <row r="105" spans="1:3">
      <c r="A105" t="s">
        <v>27</v>
      </c>
      <c r="B105">
        <v>3</v>
      </c>
      <c r="C105" s="4">
        <v>45587477.163725652</v>
      </c>
    </row>
    <row r="106" spans="1:3">
      <c r="A106" t="s">
        <v>28</v>
      </c>
      <c r="B106">
        <v>3</v>
      </c>
      <c r="C106" s="4">
        <v>147787067.66589689</v>
      </c>
    </row>
    <row r="107" spans="1:3">
      <c r="A107" t="s">
        <v>29</v>
      </c>
      <c r="B107">
        <v>3</v>
      </c>
      <c r="C107" s="4">
        <v>20339999.461530462</v>
      </c>
    </row>
    <row r="108" spans="1:3">
      <c r="A108" t="s">
        <v>30</v>
      </c>
      <c r="B108">
        <v>3</v>
      </c>
      <c r="C108" s="4">
        <v>39514928.516924255</v>
      </c>
    </row>
    <row r="109" spans="1:3">
      <c r="A109" t="s">
        <v>3</v>
      </c>
      <c r="B109">
        <v>4</v>
      </c>
      <c r="C109" s="4">
        <v>122607951.179841</v>
      </c>
    </row>
    <row r="110" spans="1:3">
      <c r="A110" t="s">
        <v>4</v>
      </c>
      <c r="B110">
        <v>4</v>
      </c>
      <c r="C110" s="4">
        <v>18005237.199634843</v>
      </c>
    </row>
    <row r="111" spans="1:3">
      <c r="A111" t="s">
        <v>5</v>
      </c>
      <c r="B111">
        <v>4</v>
      </c>
      <c r="C111" s="4">
        <v>155708434.24820724</v>
      </c>
    </row>
    <row r="112" spans="1:3">
      <c r="A112" t="s">
        <v>6</v>
      </c>
      <c r="B112">
        <v>4</v>
      </c>
      <c r="C112" s="4">
        <v>44015587.580329724</v>
      </c>
    </row>
    <row r="113" spans="1:3">
      <c r="A113" t="s">
        <v>7</v>
      </c>
      <c r="B113">
        <v>4</v>
      </c>
      <c r="C113" s="4">
        <v>103491993.08359754</v>
      </c>
    </row>
    <row r="114" spans="1:3">
      <c r="A114" t="s">
        <v>8</v>
      </c>
      <c r="B114">
        <v>4</v>
      </c>
      <c r="C114" s="4">
        <v>99372352.745419502</v>
      </c>
    </row>
    <row r="115" spans="1:3">
      <c r="A115" t="s">
        <v>1</v>
      </c>
      <c r="B115">
        <v>4</v>
      </c>
      <c r="C115" s="4">
        <v>953782199.3217386</v>
      </c>
    </row>
    <row r="116" spans="1:3">
      <c r="A116" t="s">
        <v>2</v>
      </c>
      <c r="B116">
        <v>4</v>
      </c>
      <c r="C116" s="4">
        <v>52718743.933185719</v>
      </c>
    </row>
    <row r="117" spans="1:3">
      <c r="A117" t="s">
        <v>9</v>
      </c>
      <c r="B117">
        <v>4</v>
      </c>
      <c r="C117" s="4">
        <v>13248380.502821436</v>
      </c>
    </row>
    <row r="118" spans="1:3">
      <c r="A118" t="s">
        <v>10</v>
      </c>
      <c r="B118">
        <v>4</v>
      </c>
      <c r="C118" s="4">
        <v>330082995.70440638</v>
      </c>
    </row>
    <row r="119" spans="1:3">
      <c r="A119" t="s">
        <v>11</v>
      </c>
      <c r="B119">
        <v>4</v>
      </c>
      <c r="C119" s="4">
        <v>140386546.6506857</v>
      </c>
    </row>
    <row r="120" spans="1:3">
      <c r="A120" t="s">
        <v>12</v>
      </c>
      <c r="B120">
        <v>4</v>
      </c>
      <c r="C120" s="4">
        <v>548572664.27298212</v>
      </c>
    </row>
    <row r="121" spans="1:3">
      <c r="A121" t="s">
        <v>13</v>
      </c>
      <c r="B121">
        <v>4</v>
      </c>
      <c r="C121" s="4">
        <v>593026777.25536728</v>
      </c>
    </row>
    <row r="122" spans="1:3">
      <c r="A122" t="s">
        <v>14</v>
      </c>
      <c r="B122">
        <v>4</v>
      </c>
      <c r="C122" s="4">
        <v>61893202.510686368</v>
      </c>
    </row>
    <row r="123" spans="1:3">
      <c r="A123" t="s">
        <v>15</v>
      </c>
      <c r="B123">
        <v>4</v>
      </c>
      <c r="C123" s="4">
        <v>21016030.741426624</v>
      </c>
    </row>
    <row r="124" spans="1:3">
      <c r="A124" t="s">
        <v>16</v>
      </c>
      <c r="B124">
        <v>4</v>
      </c>
      <c r="C124" s="4">
        <v>74644994.700165242</v>
      </c>
    </row>
    <row r="125" spans="1:3">
      <c r="A125" t="s">
        <v>17</v>
      </c>
      <c r="B125">
        <v>4</v>
      </c>
      <c r="C125" s="4">
        <v>70504168.191248775</v>
      </c>
    </row>
    <row r="126" spans="1:3">
      <c r="A126" t="s">
        <v>18</v>
      </c>
      <c r="B126">
        <v>4</v>
      </c>
      <c r="C126" s="4">
        <v>478901396.40116549</v>
      </c>
    </row>
    <row r="127" spans="1:3">
      <c r="A127" t="s">
        <v>19</v>
      </c>
      <c r="B127">
        <v>4</v>
      </c>
      <c r="C127" s="4">
        <v>21529378.437144101</v>
      </c>
    </row>
    <row r="128" spans="1:3">
      <c r="A128" t="s">
        <v>20</v>
      </c>
      <c r="B128">
        <v>4</v>
      </c>
      <c r="C128" s="4">
        <v>9759754.2473815773</v>
      </c>
    </row>
    <row r="129" spans="1:3">
      <c r="A129" t="s">
        <v>21</v>
      </c>
      <c r="B129">
        <v>4</v>
      </c>
      <c r="C129" s="4">
        <v>12434838.553214684</v>
      </c>
    </row>
    <row r="130" spans="1:3">
      <c r="A130" t="s">
        <v>22</v>
      </c>
      <c r="B130">
        <v>4</v>
      </c>
      <c r="C130" s="4">
        <v>15878691.847746337</v>
      </c>
    </row>
    <row r="131" spans="1:3">
      <c r="A131" t="s">
        <v>23</v>
      </c>
      <c r="B131">
        <v>4</v>
      </c>
      <c r="C131" s="4">
        <v>189182979.032276</v>
      </c>
    </row>
    <row r="132" spans="1:3">
      <c r="A132" t="s">
        <v>32</v>
      </c>
      <c r="B132">
        <v>4</v>
      </c>
      <c r="C132" s="4">
        <v>37161031.365612939</v>
      </c>
    </row>
    <row r="133" spans="1:3">
      <c r="A133" t="s">
        <v>33</v>
      </c>
      <c r="B133">
        <v>4</v>
      </c>
      <c r="C133" s="4">
        <v>35350922.045210429</v>
      </c>
    </row>
    <row r="134" spans="1:3">
      <c r="A134" t="s">
        <v>34</v>
      </c>
      <c r="B134">
        <v>4</v>
      </c>
      <c r="C134" s="4">
        <v>21998942.077835318</v>
      </c>
    </row>
    <row r="135" spans="1:3">
      <c r="A135" t="s">
        <v>35</v>
      </c>
      <c r="B135">
        <v>4</v>
      </c>
      <c r="C135" s="4">
        <v>17779458.312435966</v>
      </c>
    </row>
    <row r="136" spans="1:3">
      <c r="A136" t="s">
        <v>36</v>
      </c>
      <c r="B136">
        <v>4</v>
      </c>
      <c r="C136" s="4">
        <v>16677848.450812332</v>
      </c>
    </row>
    <row r="137" spans="1:3">
      <c r="A137" t="s">
        <v>24</v>
      </c>
      <c r="B137">
        <v>4</v>
      </c>
      <c r="C137" s="4">
        <v>256157635.7492466</v>
      </c>
    </row>
    <row r="138" spans="1:3">
      <c r="A138" t="s">
        <v>25</v>
      </c>
      <c r="B138">
        <v>4</v>
      </c>
      <c r="C138" s="4">
        <v>85604077.783387035</v>
      </c>
    </row>
    <row r="139" spans="1:3">
      <c r="A139" t="s">
        <v>26</v>
      </c>
      <c r="B139">
        <v>4</v>
      </c>
      <c r="C139" s="4">
        <v>78104565.094171226</v>
      </c>
    </row>
    <row r="140" spans="1:3">
      <c r="A140" t="s">
        <v>27</v>
      </c>
      <c r="B140">
        <v>4</v>
      </c>
      <c r="C140" s="4">
        <v>47880269.58308129</v>
      </c>
    </row>
    <row r="141" spans="1:3">
      <c r="A141" t="s">
        <v>28</v>
      </c>
      <c r="B141">
        <v>4</v>
      </c>
      <c r="C141" s="4">
        <v>160543823.30461949</v>
      </c>
    </row>
    <row r="142" spans="1:3">
      <c r="A142" t="s">
        <v>29</v>
      </c>
      <c r="B142">
        <v>4</v>
      </c>
      <c r="C142" s="4">
        <v>20788565.90225682</v>
      </c>
    </row>
    <row r="143" spans="1:3">
      <c r="A143" t="s">
        <v>30</v>
      </c>
      <c r="B143">
        <v>4</v>
      </c>
      <c r="C143" s="4">
        <v>44190149.615660191</v>
      </c>
    </row>
    <row r="144" spans="1:3">
      <c r="A144" t="s">
        <v>3</v>
      </c>
      <c r="B144">
        <v>5</v>
      </c>
      <c r="C144" s="4">
        <v>134981016.94646677</v>
      </c>
    </row>
    <row r="145" spans="1:3">
      <c r="A145" t="s">
        <v>4</v>
      </c>
      <c r="B145">
        <v>5</v>
      </c>
      <c r="C145" s="4">
        <v>18790321.845936146</v>
      </c>
    </row>
    <row r="146" spans="1:3">
      <c r="A146" t="s">
        <v>5</v>
      </c>
      <c r="B146">
        <v>5</v>
      </c>
      <c r="C146" s="4">
        <v>170119569.01695913</v>
      </c>
    </row>
    <row r="147" spans="1:3">
      <c r="A147" t="s">
        <v>6</v>
      </c>
      <c r="B147">
        <v>5</v>
      </c>
      <c r="C147" s="4">
        <v>45830671.31785135</v>
      </c>
    </row>
    <row r="148" spans="1:3">
      <c r="A148" t="s">
        <v>7</v>
      </c>
      <c r="B148">
        <v>5</v>
      </c>
      <c r="C148" s="4">
        <v>116221375.00167729</v>
      </c>
    </row>
    <row r="149" spans="1:3">
      <c r="A149" t="s">
        <v>8</v>
      </c>
      <c r="B149">
        <v>5</v>
      </c>
      <c r="C149" s="4">
        <v>107075882.75542757</v>
      </c>
    </row>
    <row r="150" spans="1:3">
      <c r="A150" t="s">
        <v>1</v>
      </c>
      <c r="B150">
        <v>5</v>
      </c>
      <c r="C150" s="4">
        <v>1038984829.2924336</v>
      </c>
    </row>
    <row r="151" spans="1:3">
      <c r="A151" t="s">
        <v>2</v>
      </c>
      <c r="B151">
        <v>5</v>
      </c>
      <c r="C151" s="4">
        <v>55860755.618950769</v>
      </c>
    </row>
    <row r="152" spans="1:3">
      <c r="A152" t="s">
        <v>9</v>
      </c>
      <c r="B152">
        <v>5</v>
      </c>
      <c r="C152" s="4">
        <v>14109139.358348174</v>
      </c>
    </row>
    <row r="153" spans="1:3">
      <c r="A153" t="s">
        <v>10</v>
      </c>
      <c r="B153">
        <v>5</v>
      </c>
      <c r="C153" s="4">
        <v>341323119.44890434</v>
      </c>
    </row>
    <row r="154" spans="1:3">
      <c r="A154" t="s">
        <v>11</v>
      </c>
      <c r="B154">
        <v>5</v>
      </c>
      <c r="C154" s="4">
        <v>151970887.11254546</v>
      </c>
    </row>
    <row r="155" spans="1:3">
      <c r="A155" t="s">
        <v>12</v>
      </c>
      <c r="B155">
        <v>5</v>
      </c>
      <c r="C155" s="4">
        <v>574665541.89299083</v>
      </c>
    </row>
    <row r="156" spans="1:3">
      <c r="A156" t="s">
        <v>13</v>
      </c>
      <c r="B156">
        <v>5</v>
      </c>
      <c r="C156" s="4">
        <v>578544348.67725015</v>
      </c>
    </row>
    <row r="157" spans="1:3">
      <c r="A157" t="s">
        <v>14</v>
      </c>
      <c r="B157">
        <v>5</v>
      </c>
      <c r="C157" s="4">
        <v>63689581.062138349</v>
      </c>
    </row>
    <row r="158" spans="1:3">
      <c r="A158" t="s">
        <v>15</v>
      </c>
      <c r="B158">
        <v>5</v>
      </c>
      <c r="C158" s="4">
        <v>21840909.777841043</v>
      </c>
    </row>
    <row r="159" spans="1:3">
      <c r="A159" t="s">
        <v>16</v>
      </c>
      <c r="B159">
        <v>5</v>
      </c>
      <c r="C159" s="4">
        <v>78807373.514497459</v>
      </c>
    </row>
    <row r="160" spans="1:3">
      <c r="A160" t="s">
        <v>17</v>
      </c>
      <c r="B160">
        <v>5</v>
      </c>
      <c r="C160" s="4">
        <v>75791292.289073169</v>
      </c>
    </row>
    <row r="161" spans="1:3">
      <c r="A161" t="s">
        <v>18</v>
      </c>
      <c r="B161">
        <v>5</v>
      </c>
      <c r="C161" s="4">
        <v>506156143.3743788</v>
      </c>
    </row>
    <row r="162" spans="1:3">
      <c r="A162" t="s">
        <v>19</v>
      </c>
      <c r="B162">
        <v>5</v>
      </c>
      <c r="C162" s="4">
        <v>24573966.739394244</v>
      </c>
    </row>
    <row r="163" spans="1:3">
      <c r="A163" t="s">
        <v>20</v>
      </c>
      <c r="B163">
        <v>5</v>
      </c>
      <c r="C163" s="4">
        <v>10661371.008013055</v>
      </c>
    </row>
    <row r="164" spans="1:3">
      <c r="A164" t="s">
        <v>21</v>
      </c>
      <c r="B164">
        <v>5</v>
      </c>
      <c r="C164" s="4">
        <v>13200401.424344309</v>
      </c>
    </row>
    <row r="165" spans="1:3">
      <c r="A165" t="s">
        <v>22</v>
      </c>
      <c r="B165">
        <v>5</v>
      </c>
      <c r="C165" s="4">
        <v>15592937.038466744</v>
      </c>
    </row>
    <row r="166" spans="1:3">
      <c r="A166" t="s">
        <v>23</v>
      </c>
      <c r="B166">
        <v>5</v>
      </c>
      <c r="C166" s="4">
        <v>210074240.43770495</v>
      </c>
    </row>
    <row r="167" spans="1:3">
      <c r="A167" t="s">
        <v>32</v>
      </c>
      <c r="B167">
        <v>5</v>
      </c>
      <c r="C167" s="4">
        <v>38123674.144352242</v>
      </c>
    </row>
    <row r="168" spans="1:3">
      <c r="A168" t="s">
        <v>33</v>
      </c>
      <c r="B168">
        <v>5</v>
      </c>
      <c r="C168" s="4">
        <v>36632774.839373671</v>
      </c>
    </row>
    <row r="169" spans="1:3">
      <c r="A169" t="s">
        <v>34</v>
      </c>
      <c r="B169">
        <v>5</v>
      </c>
      <c r="C169" s="4">
        <v>22799774.942379225</v>
      </c>
    </row>
    <row r="170" spans="1:3">
      <c r="A170" t="s">
        <v>35</v>
      </c>
      <c r="B170">
        <v>5</v>
      </c>
      <c r="C170" s="4">
        <v>18458345.482409116</v>
      </c>
    </row>
    <row r="171" spans="1:3">
      <c r="A171" t="s">
        <v>36</v>
      </c>
      <c r="B171">
        <v>5</v>
      </c>
      <c r="C171" s="4">
        <v>17343211.30271579</v>
      </c>
    </row>
    <row r="172" spans="1:3">
      <c r="A172" t="s">
        <v>24</v>
      </c>
      <c r="B172">
        <v>5</v>
      </c>
      <c r="C172" s="4">
        <v>278069640.36482763</v>
      </c>
    </row>
    <row r="173" spans="1:3">
      <c r="A173" t="s">
        <v>25</v>
      </c>
      <c r="B173">
        <v>5</v>
      </c>
      <c r="C173" s="4">
        <v>88693049.844709262</v>
      </c>
    </row>
    <row r="174" spans="1:3">
      <c r="A174" t="s">
        <v>26</v>
      </c>
      <c r="B174">
        <v>5</v>
      </c>
      <c r="C174" s="4">
        <v>84521108.430064559</v>
      </c>
    </row>
    <row r="175" spans="1:3">
      <c r="A175" t="s">
        <v>27</v>
      </c>
      <c r="B175">
        <v>5</v>
      </c>
      <c r="C175" s="4">
        <v>48348943.239494614</v>
      </c>
    </row>
    <row r="176" spans="1:3">
      <c r="A176" t="s">
        <v>28</v>
      </c>
      <c r="B176">
        <v>5</v>
      </c>
      <c r="C176" s="4">
        <v>173734306.20852676</v>
      </c>
    </row>
    <row r="177" spans="1:3">
      <c r="A177" t="s">
        <v>29</v>
      </c>
      <c r="B177">
        <v>5</v>
      </c>
      <c r="C177" s="4">
        <v>21417338.939496741</v>
      </c>
    </row>
    <row r="178" spans="1:3">
      <c r="A178" t="s">
        <v>30</v>
      </c>
      <c r="B178">
        <v>5</v>
      </c>
      <c r="C178" s="4">
        <v>48022062.818918213</v>
      </c>
    </row>
    <row r="179" spans="1:3">
      <c r="A179" t="s">
        <v>3</v>
      </c>
      <c r="B179">
        <v>6</v>
      </c>
      <c r="C179" s="4">
        <v>147179755.9219144</v>
      </c>
    </row>
    <row r="180" spans="1:3">
      <c r="A180" t="s">
        <v>4</v>
      </c>
      <c r="B180">
        <v>6</v>
      </c>
      <c r="C180" s="4">
        <v>19555977.084929775</v>
      </c>
    </row>
    <row r="181" spans="1:3">
      <c r="A181" t="s">
        <v>5</v>
      </c>
      <c r="B181">
        <v>6</v>
      </c>
      <c r="C181" s="4">
        <v>184238782.28807777</v>
      </c>
    </row>
    <row r="182" spans="1:3">
      <c r="A182" t="s">
        <v>6</v>
      </c>
      <c r="B182">
        <v>6</v>
      </c>
      <c r="C182" s="4">
        <v>47738287.247886762</v>
      </c>
    </row>
    <row r="183" spans="1:3">
      <c r="A183" t="s">
        <v>7</v>
      </c>
      <c r="B183">
        <v>6</v>
      </c>
      <c r="C183" s="4">
        <v>128768398.34847933</v>
      </c>
    </row>
    <row r="184" spans="1:3">
      <c r="A184" t="s">
        <v>8</v>
      </c>
      <c r="B184">
        <v>6</v>
      </c>
      <c r="C184" s="4">
        <v>114478105.05756921</v>
      </c>
    </row>
    <row r="185" spans="1:3">
      <c r="A185" t="s">
        <v>1</v>
      </c>
      <c r="B185">
        <v>6</v>
      </c>
      <c r="C185" s="4">
        <v>1120392296.78865</v>
      </c>
    </row>
    <row r="186" spans="1:3">
      <c r="A186" t="s">
        <v>2</v>
      </c>
      <c r="B186">
        <v>6</v>
      </c>
      <c r="C186" s="4">
        <v>57763384.115470037</v>
      </c>
    </row>
    <row r="187" spans="1:3">
      <c r="A187" t="s">
        <v>9</v>
      </c>
      <c r="B187">
        <v>6</v>
      </c>
      <c r="C187" s="4">
        <v>14966929.949459746</v>
      </c>
    </row>
    <row r="188" spans="1:3">
      <c r="A188" t="s">
        <v>10</v>
      </c>
      <c r="B188">
        <v>6</v>
      </c>
      <c r="C188" s="4">
        <v>351003241.21791506</v>
      </c>
    </row>
    <row r="189" spans="1:3">
      <c r="A189" t="s">
        <v>11</v>
      </c>
      <c r="B189">
        <v>6</v>
      </c>
      <c r="C189" s="4">
        <v>163351456.91836038</v>
      </c>
    </row>
    <row r="190" spans="1:3">
      <c r="A190" t="s">
        <v>12</v>
      </c>
      <c r="B190">
        <v>6</v>
      </c>
      <c r="C190" s="4">
        <v>598169010.73654461</v>
      </c>
    </row>
    <row r="191" spans="1:3">
      <c r="A191" t="s">
        <v>13</v>
      </c>
      <c r="B191">
        <v>6</v>
      </c>
      <c r="C191" s="4">
        <v>561271587.11356986</v>
      </c>
    </row>
    <row r="192" spans="1:3">
      <c r="A192" t="s">
        <v>14</v>
      </c>
      <c r="B192">
        <v>6</v>
      </c>
      <c r="C192" s="4">
        <v>65170133.720269583</v>
      </c>
    </row>
    <row r="193" spans="1:3">
      <c r="A193" t="s">
        <v>15</v>
      </c>
      <c r="B193">
        <v>6</v>
      </c>
      <c r="C193" s="4">
        <v>22631758.297715999</v>
      </c>
    </row>
    <row r="194" spans="1:3">
      <c r="A194" t="s">
        <v>16</v>
      </c>
      <c r="B194">
        <v>6</v>
      </c>
      <c r="C194" s="4">
        <v>83153737.895102024</v>
      </c>
    </row>
    <row r="195" spans="1:3">
      <c r="A195" t="s">
        <v>17</v>
      </c>
      <c r="B195">
        <v>6</v>
      </c>
      <c r="C195" s="4">
        <v>80854823.907333404</v>
      </c>
    </row>
    <row r="196" spans="1:3">
      <c r="A196" t="s">
        <v>18</v>
      </c>
      <c r="B196">
        <v>6</v>
      </c>
      <c r="C196" s="4">
        <v>531437606.58891463</v>
      </c>
    </row>
    <row r="197" spans="1:3">
      <c r="A197" t="s">
        <v>19</v>
      </c>
      <c r="B197">
        <v>6</v>
      </c>
      <c r="C197" s="4">
        <v>28011878.165459931</v>
      </c>
    </row>
    <row r="198" spans="1:3">
      <c r="A198" t="s">
        <v>20</v>
      </c>
      <c r="B198">
        <v>6</v>
      </c>
      <c r="C198" s="4">
        <v>11528305.684395451</v>
      </c>
    </row>
    <row r="199" spans="1:3">
      <c r="A199" t="s">
        <v>21</v>
      </c>
      <c r="B199">
        <v>6</v>
      </c>
      <c r="C199" s="4">
        <v>13963047.905709848</v>
      </c>
    </row>
    <row r="200" spans="1:3">
      <c r="A200" t="s">
        <v>22</v>
      </c>
      <c r="B200">
        <v>6</v>
      </c>
      <c r="C200" s="4">
        <v>15239145.168208433</v>
      </c>
    </row>
    <row r="201" spans="1:3">
      <c r="A201" t="s">
        <v>23</v>
      </c>
      <c r="B201">
        <v>6</v>
      </c>
      <c r="C201" s="4">
        <v>230298967.14680278</v>
      </c>
    </row>
    <row r="202" spans="1:3">
      <c r="A202" t="s">
        <v>32</v>
      </c>
      <c r="B202">
        <v>6</v>
      </c>
      <c r="C202" s="4">
        <v>38970483.437775202</v>
      </c>
    </row>
    <row r="203" spans="1:3">
      <c r="A203" t="s">
        <v>33</v>
      </c>
      <c r="B203">
        <v>6</v>
      </c>
      <c r="C203" s="4">
        <v>37826426.042127244</v>
      </c>
    </row>
    <row r="204" spans="1:3">
      <c r="A204" t="s">
        <v>34</v>
      </c>
      <c r="B204">
        <v>6</v>
      </c>
      <c r="C204" s="4">
        <v>23544413.691207446</v>
      </c>
    </row>
    <row r="205" spans="1:3">
      <c r="A205" t="s">
        <v>35</v>
      </c>
      <c r="B205">
        <v>6</v>
      </c>
      <c r="C205" s="4">
        <v>19094786.347360525</v>
      </c>
    </row>
    <row r="206" spans="1:3">
      <c r="A206" t="s">
        <v>36</v>
      </c>
      <c r="B206">
        <v>6</v>
      </c>
      <c r="C206" s="4">
        <v>17971051.195834942</v>
      </c>
    </row>
    <row r="207" spans="1:3">
      <c r="A207" t="s">
        <v>24</v>
      </c>
      <c r="B207">
        <v>6</v>
      </c>
      <c r="C207" s="4">
        <v>301257937.21929824</v>
      </c>
    </row>
    <row r="208" spans="1:3">
      <c r="A208" t="s">
        <v>25</v>
      </c>
      <c r="B208">
        <v>6</v>
      </c>
      <c r="C208" s="4">
        <v>91573631.279973328</v>
      </c>
    </row>
    <row r="209" spans="1:3">
      <c r="A209" t="s">
        <v>26</v>
      </c>
      <c r="B209">
        <v>6</v>
      </c>
      <c r="C209" s="4">
        <v>90766279.378669545</v>
      </c>
    </row>
    <row r="210" spans="1:3">
      <c r="A210" t="s">
        <v>27</v>
      </c>
      <c r="B210">
        <v>6</v>
      </c>
      <c r="C210" s="4">
        <v>48778870.87365073</v>
      </c>
    </row>
    <row r="211" spans="1:3">
      <c r="A211" t="s">
        <v>28</v>
      </c>
      <c r="B211">
        <v>6</v>
      </c>
      <c r="C211" s="4">
        <v>186652777.1439431</v>
      </c>
    </row>
    <row r="212" spans="1:3">
      <c r="A212" t="s">
        <v>29</v>
      </c>
      <c r="B212">
        <v>6</v>
      </c>
      <c r="C212" s="4">
        <v>22146834.511034623</v>
      </c>
    </row>
    <row r="213" spans="1:3">
      <c r="A213" t="s">
        <v>30</v>
      </c>
      <c r="B213">
        <v>6</v>
      </c>
      <c r="C213" s="4">
        <v>52071755.702505849</v>
      </c>
    </row>
    <row r="214" spans="1:3">
      <c r="A214" t="s">
        <v>3</v>
      </c>
      <c r="B214">
        <v>7</v>
      </c>
      <c r="C214" s="4">
        <v>148055797.13208956</v>
      </c>
    </row>
    <row r="215" spans="1:3">
      <c r="A215" t="s">
        <v>4</v>
      </c>
      <c r="B215">
        <v>7</v>
      </c>
      <c r="C215" s="4">
        <v>18832849.03371584</v>
      </c>
    </row>
    <row r="216" spans="1:3">
      <c r="A216" t="s">
        <v>5</v>
      </c>
      <c r="B216">
        <v>7</v>
      </c>
      <c r="C216" s="4">
        <v>184532827.10739142</v>
      </c>
    </row>
    <row r="217" spans="1:3">
      <c r="A217" t="s">
        <v>6</v>
      </c>
      <c r="B217">
        <v>7</v>
      </c>
      <c r="C217" s="4">
        <v>46947303.54223974</v>
      </c>
    </row>
    <row r="218" spans="1:3">
      <c r="A218" t="s">
        <v>7</v>
      </c>
      <c r="B218">
        <v>7</v>
      </c>
      <c r="C218" s="4">
        <v>129814016.83347857</v>
      </c>
    </row>
    <row r="219" spans="1:3">
      <c r="A219" t="s">
        <v>8</v>
      </c>
      <c r="B219">
        <v>7</v>
      </c>
      <c r="C219" s="4">
        <v>114360803.99943584</v>
      </c>
    </row>
    <row r="220" spans="1:3">
      <c r="A220" t="s">
        <v>1</v>
      </c>
      <c r="B220">
        <v>7</v>
      </c>
      <c r="C220" s="4">
        <v>1133697936.0910628</v>
      </c>
    </row>
    <row r="221" spans="1:3">
      <c r="A221" t="s">
        <v>2</v>
      </c>
      <c r="B221">
        <v>7</v>
      </c>
      <c r="C221" s="4">
        <v>55982006.005882427</v>
      </c>
    </row>
    <row r="222" spans="1:3">
      <c r="A222" t="s">
        <v>9</v>
      </c>
      <c r="B222">
        <v>7</v>
      </c>
      <c r="C222" s="4">
        <v>14997109.070856553</v>
      </c>
    </row>
    <row r="223" spans="1:3">
      <c r="A223" t="s">
        <v>10</v>
      </c>
      <c r="B223">
        <v>7</v>
      </c>
      <c r="C223" s="4">
        <v>334869260.0088672</v>
      </c>
    </row>
    <row r="224" spans="1:3">
      <c r="A224" t="s">
        <v>11</v>
      </c>
      <c r="B224">
        <v>7</v>
      </c>
      <c r="C224" s="4">
        <v>168759418.80973849</v>
      </c>
    </row>
    <row r="225" spans="1:3">
      <c r="A225" t="s">
        <v>12</v>
      </c>
      <c r="B225">
        <v>7</v>
      </c>
      <c r="C225" s="4">
        <v>592894181.02794325</v>
      </c>
    </row>
    <row r="226" spans="1:3">
      <c r="A226" t="s">
        <v>13</v>
      </c>
      <c r="B226">
        <v>7</v>
      </c>
      <c r="C226" s="4">
        <v>513420297.68988228</v>
      </c>
    </row>
    <row r="227" spans="1:3">
      <c r="A227" t="s">
        <v>14</v>
      </c>
      <c r="B227">
        <v>7</v>
      </c>
      <c r="C227" s="4">
        <v>64294223.923747964</v>
      </c>
    </row>
    <row r="228" spans="1:3">
      <c r="A228" t="s">
        <v>15</v>
      </c>
      <c r="B228">
        <v>7</v>
      </c>
      <c r="C228" s="4">
        <v>21864369.050924987</v>
      </c>
    </row>
    <row r="229" spans="1:3">
      <c r="A229" t="s">
        <v>16</v>
      </c>
      <c r="B229">
        <v>7</v>
      </c>
      <c r="C229" s="4">
        <v>83509699.326841265</v>
      </c>
    </row>
    <row r="230" spans="1:3">
      <c r="A230" t="s">
        <v>17</v>
      </c>
      <c r="B230">
        <v>7</v>
      </c>
      <c r="C230" s="4">
        <v>83788959.792350546</v>
      </c>
    </row>
    <row r="231" spans="1:3">
      <c r="A231" t="s">
        <v>18</v>
      </c>
      <c r="B231">
        <v>7</v>
      </c>
      <c r="C231" s="4">
        <v>530151757.45304465</v>
      </c>
    </row>
    <row r="232" spans="1:3">
      <c r="A232" t="s">
        <v>19</v>
      </c>
      <c r="B232">
        <v>7</v>
      </c>
      <c r="C232" s="4">
        <v>28332274.739241831</v>
      </c>
    </row>
    <row r="233" spans="1:3">
      <c r="A233" t="s">
        <v>20</v>
      </c>
      <c r="B233">
        <v>7</v>
      </c>
      <c r="C233" s="4">
        <v>11476803.811090123</v>
      </c>
    </row>
    <row r="234" spans="1:3">
      <c r="A234" t="s">
        <v>21</v>
      </c>
      <c r="B234">
        <v>7</v>
      </c>
      <c r="C234" s="4">
        <v>13754619.702171199</v>
      </c>
    </row>
    <row r="235" spans="1:3">
      <c r="A235" t="s">
        <v>22</v>
      </c>
      <c r="B235">
        <v>7</v>
      </c>
      <c r="C235" s="4">
        <v>14350950.586969696</v>
      </c>
    </row>
    <row r="236" spans="1:3">
      <c r="A236" t="s">
        <v>23</v>
      </c>
      <c r="B236">
        <v>7</v>
      </c>
      <c r="C236" s="4">
        <v>232101708.72200736</v>
      </c>
    </row>
    <row r="237" spans="1:3">
      <c r="A237" t="s">
        <v>32</v>
      </c>
      <c r="B237">
        <v>7</v>
      </c>
      <c r="C237" s="4">
        <v>39236997.105122775</v>
      </c>
    </row>
    <row r="238" spans="1:3">
      <c r="A238" t="s">
        <v>33</v>
      </c>
      <c r="B238">
        <v>7</v>
      </c>
      <c r="C238" s="4">
        <v>38578210.218535699</v>
      </c>
    </row>
    <row r="239" spans="1:3">
      <c r="A239" t="s">
        <v>34</v>
      </c>
      <c r="B239">
        <v>7</v>
      </c>
      <c r="C239" s="4">
        <v>24007534.539819412</v>
      </c>
    </row>
    <row r="240" spans="1:3">
      <c r="A240" t="s">
        <v>35</v>
      </c>
      <c r="B240">
        <v>7</v>
      </c>
      <c r="C240" s="4">
        <v>19518582.267027672</v>
      </c>
    </row>
    <row r="241" spans="1:3">
      <c r="A241" t="s">
        <v>36</v>
      </c>
      <c r="B241">
        <v>7</v>
      </c>
      <c r="C241" s="4">
        <v>18410910.827456541</v>
      </c>
    </row>
    <row r="242" spans="1:3">
      <c r="A242" t="s">
        <v>24</v>
      </c>
      <c r="B242">
        <v>7</v>
      </c>
      <c r="C242" s="4">
        <v>300114155.02411616</v>
      </c>
    </row>
    <row r="243" spans="1:3">
      <c r="A243" t="s">
        <v>25</v>
      </c>
      <c r="B243">
        <v>7</v>
      </c>
      <c r="C243" s="4">
        <v>90001570.614124775</v>
      </c>
    </row>
    <row r="244" spans="1:3">
      <c r="A244" t="s">
        <v>26</v>
      </c>
      <c r="B244">
        <v>7</v>
      </c>
      <c r="C244" s="4">
        <v>90093404.799752861</v>
      </c>
    </row>
    <row r="245" spans="1:3">
      <c r="A245" t="s">
        <v>27</v>
      </c>
      <c r="B245">
        <v>7</v>
      </c>
      <c r="C245" s="4">
        <v>46239874.670601837</v>
      </c>
    </row>
    <row r="246" spans="1:3">
      <c r="A246" t="s">
        <v>28</v>
      </c>
      <c r="B246">
        <v>7</v>
      </c>
      <c r="C246" s="4">
        <v>192833784.03205609</v>
      </c>
    </row>
    <row r="247" spans="1:3">
      <c r="A247" t="s">
        <v>29</v>
      </c>
      <c r="B247">
        <v>7</v>
      </c>
      <c r="C247" s="4">
        <v>21607000.47080005</v>
      </c>
    </row>
    <row r="248" spans="1:3">
      <c r="A248" t="s">
        <v>30</v>
      </c>
      <c r="B248">
        <v>7</v>
      </c>
      <c r="C248" s="4">
        <v>51904800.910367854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7"/>
  <sheetViews>
    <sheetView zoomScaleNormal="100" workbookViewId="0">
      <selection activeCell="C17" sqref="C17"/>
    </sheetView>
  </sheetViews>
  <sheetFormatPr defaultColWidth="9.33203125" defaultRowHeight="14.4"/>
  <cols>
    <col min="1" max="1" width="12" bestFit="1" customWidth="1"/>
    <col min="3" max="3" width="18.33203125" bestFit="1" customWidth="1"/>
    <col min="9" max="9" width="10.33203125" bestFit="1" customWidth="1"/>
  </cols>
  <sheetData>
    <row r="1" spans="1:9">
      <c r="A1" t="s">
        <v>39</v>
      </c>
    </row>
    <row r="2" spans="1:9">
      <c r="A2" t="s">
        <v>40</v>
      </c>
    </row>
    <row r="3" spans="1:9">
      <c r="A3" t="s">
        <v>0</v>
      </c>
      <c r="B3" t="s">
        <v>31</v>
      </c>
      <c r="C3" t="s">
        <v>37</v>
      </c>
    </row>
    <row r="4" spans="1:9">
      <c r="A4" t="s">
        <v>3</v>
      </c>
      <c r="B4">
        <v>1</v>
      </c>
      <c r="C4">
        <v>999999999</v>
      </c>
      <c r="D4" s="5"/>
    </row>
    <row r="5" spans="1:9">
      <c r="A5" t="s">
        <v>4</v>
      </c>
      <c r="B5">
        <v>1</v>
      </c>
      <c r="C5">
        <v>999999999</v>
      </c>
    </row>
    <row r="6" spans="1:9">
      <c r="A6" t="s">
        <v>5</v>
      </c>
      <c r="B6">
        <v>1</v>
      </c>
      <c r="C6">
        <v>999999999</v>
      </c>
    </row>
    <row r="7" spans="1:9">
      <c r="A7" t="s">
        <v>6</v>
      </c>
      <c r="B7">
        <v>1</v>
      </c>
      <c r="C7">
        <v>999999999</v>
      </c>
    </row>
    <row r="8" spans="1:9">
      <c r="A8" t="s">
        <v>7</v>
      </c>
      <c r="B8">
        <v>1</v>
      </c>
      <c r="C8">
        <v>999999999</v>
      </c>
    </row>
    <row r="9" spans="1:9">
      <c r="A9" t="s">
        <v>8</v>
      </c>
      <c r="B9">
        <v>1</v>
      </c>
      <c r="C9">
        <v>999999999</v>
      </c>
    </row>
    <row r="10" spans="1:9">
      <c r="A10" t="s">
        <v>1</v>
      </c>
      <c r="B10">
        <v>1</v>
      </c>
      <c r="C10">
        <v>999999999</v>
      </c>
      <c r="I10" s="6"/>
    </row>
    <row r="11" spans="1:9">
      <c r="A11" t="s">
        <v>2</v>
      </c>
      <c r="B11">
        <v>1</v>
      </c>
      <c r="C11">
        <v>999999999</v>
      </c>
    </row>
    <row r="12" spans="1:9">
      <c r="A12" t="s">
        <v>9</v>
      </c>
      <c r="B12">
        <v>1</v>
      </c>
      <c r="C12">
        <v>999999999</v>
      </c>
    </row>
    <row r="13" spans="1:9">
      <c r="A13" t="s">
        <v>10</v>
      </c>
      <c r="B13">
        <v>1</v>
      </c>
      <c r="C13">
        <v>999999999</v>
      </c>
    </row>
    <row r="14" spans="1:9">
      <c r="A14" t="s">
        <v>11</v>
      </c>
      <c r="B14">
        <v>1</v>
      </c>
      <c r="C14">
        <v>999999999</v>
      </c>
    </row>
    <row r="15" spans="1:9">
      <c r="A15" t="s">
        <v>12</v>
      </c>
      <c r="B15">
        <v>1</v>
      </c>
      <c r="C15">
        <v>999999999</v>
      </c>
    </row>
    <row r="16" spans="1:9">
      <c r="A16" t="s">
        <v>13</v>
      </c>
      <c r="B16">
        <v>1</v>
      </c>
      <c r="C16">
        <v>999999999</v>
      </c>
    </row>
    <row r="17" spans="1:3">
      <c r="A17" t="s">
        <v>14</v>
      </c>
      <c r="B17">
        <v>1</v>
      </c>
      <c r="C17">
        <v>999999999</v>
      </c>
    </row>
    <row r="18" spans="1:3">
      <c r="A18" t="s">
        <v>15</v>
      </c>
      <c r="B18">
        <v>1</v>
      </c>
      <c r="C18">
        <v>999999999</v>
      </c>
    </row>
    <row r="19" spans="1:3">
      <c r="A19" t="s">
        <v>16</v>
      </c>
      <c r="B19">
        <v>1</v>
      </c>
      <c r="C19">
        <v>999999999</v>
      </c>
    </row>
    <row r="20" spans="1:3">
      <c r="A20" t="s">
        <v>17</v>
      </c>
      <c r="B20">
        <v>1</v>
      </c>
      <c r="C20">
        <v>999999999</v>
      </c>
    </row>
    <row r="21" spans="1:3">
      <c r="A21" t="s">
        <v>18</v>
      </c>
      <c r="B21">
        <v>1</v>
      </c>
      <c r="C21">
        <v>999999999</v>
      </c>
    </row>
    <row r="22" spans="1:3">
      <c r="A22" t="s">
        <v>19</v>
      </c>
      <c r="B22">
        <v>1</v>
      </c>
      <c r="C22">
        <v>999999999</v>
      </c>
    </row>
    <row r="23" spans="1:3">
      <c r="A23" t="s">
        <v>20</v>
      </c>
      <c r="B23">
        <v>1</v>
      </c>
      <c r="C23">
        <v>999999999</v>
      </c>
    </row>
    <row r="24" spans="1:3">
      <c r="A24" t="s">
        <v>21</v>
      </c>
      <c r="B24">
        <v>1</v>
      </c>
      <c r="C24">
        <v>999999999</v>
      </c>
    </row>
    <row r="25" spans="1:3">
      <c r="A25" t="s">
        <v>22</v>
      </c>
      <c r="B25">
        <v>1</v>
      </c>
      <c r="C25">
        <v>999999999</v>
      </c>
    </row>
    <row r="26" spans="1:3">
      <c r="A26" t="s">
        <v>23</v>
      </c>
      <c r="B26">
        <v>1</v>
      </c>
      <c r="C26">
        <v>999999999</v>
      </c>
    </row>
    <row r="27" spans="1:3">
      <c r="A27" t="s">
        <v>32</v>
      </c>
      <c r="B27">
        <v>1</v>
      </c>
      <c r="C27">
        <v>999999999</v>
      </c>
    </row>
    <row r="28" spans="1:3">
      <c r="A28" t="s">
        <v>33</v>
      </c>
      <c r="B28">
        <v>1</v>
      </c>
      <c r="C28">
        <v>999999999</v>
      </c>
    </row>
    <row r="29" spans="1:3">
      <c r="A29" t="s">
        <v>34</v>
      </c>
      <c r="B29">
        <v>1</v>
      </c>
      <c r="C29">
        <v>999999999</v>
      </c>
    </row>
    <row r="30" spans="1:3">
      <c r="A30" t="s">
        <v>35</v>
      </c>
      <c r="B30">
        <v>1</v>
      </c>
      <c r="C30">
        <v>999999999</v>
      </c>
    </row>
    <row r="31" spans="1:3">
      <c r="A31" t="s">
        <v>36</v>
      </c>
      <c r="B31">
        <v>1</v>
      </c>
      <c r="C31">
        <v>999999999</v>
      </c>
    </row>
    <row r="32" spans="1:3">
      <c r="A32" t="s">
        <v>24</v>
      </c>
      <c r="B32">
        <v>1</v>
      </c>
      <c r="C32">
        <v>999999999</v>
      </c>
    </row>
    <row r="33" spans="1:3">
      <c r="A33" t="s">
        <v>25</v>
      </c>
      <c r="B33">
        <v>1</v>
      </c>
      <c r="C33">
        <v>999999999</v>
      </c>
    </row>
    <row r="34" spans="1:3">
      <c r="A34" t="s">
        <v>26</v>
      </c>
      <c r="B34">
        <v>1</v>
      </c>
      <c r="C34">
        <v>999999999</v>
      </c>
    </row>
    <row r="35" spans="1:3">
      <c r="A35" t="s">
        <v>27</v>
      </c>
      <c r="B35">
        <v>1</v>
      </c>
      <c r="C35">
        <v>999999999</v>
      </c>
    </row>
    <row r="36" spans="1:3">
      <c r="A36" t="s">
        <v>28</v>
      </c>
      <c r="B36">
        <v>1</v>
      </c>
      <c r="C36">
        <v>999999999</v>
      </c>
    </row>
    <row r="37" spans="1:3">
      <c r="A37" t="s">
        <v>29</v>
      </c>
      <c r="B37">
        <v>1</v>
      </c>
      <c r="C37">
        <v>999999999</v>
      </c>
    </row>
    <row r="38" spans="1:3">
      <c r="A38" t="s">
        <v>30</v>
      </c>
      <c r="B38">
        <v>1</v>
      </c>
      <c r="C38">
        <v>999999999</v>
      </c>
    </row>
    <row r="39" spans="1:3">
      <c r="A39" t="s">
        <v>45</v>
      </c>
      <c r="B39">
        <v>1</v>
      </c>
      <c r="C39">
        <v>999999999</v>
      </c>
    </row>
    <row r="40" spans="1:3">
      <c r="A40" t="s">
        <v>46</v>
      </c>
      <c r="B40">
        <v>1</v>
      </c>
      <c r="C40">
        <v>999999999</v>
      </c>
    </row>
    <row r="41" spans="1:3">
      <c r="A41" t="s">
        <v>47</v>
      </c>
      <c r="B41">
        <v>1</v>
      </c>
      <c r="C41">
        <v>999999999</v>
      </c>
    </row>
    <row r="42" spans="1:3">
      <c r="A42" t="s">
        <v>48</v>
      </c>
      <c r="B42">
        <v>1</v>
      </c>
      <c r="C42">
        <v>999999999</v>
      </c>
    </row>
    <row r="43" spans="1:3">
      <c r="A43" t="s">
        <v>49</v>
      </c>
      <c r="B43">
        <v>1</v>
      </c>
      <c r="C43">
        <v>999999999</v>
      </c>
    </row>
    <row r="44" spans="1:3">
      <c r="A44" t="s">
        <v>50</v>
      </c>
      <c r="B44">
        <v>1</v>
      </c>
      <c r="C44">
        <v>999999999</v>
      </c>
    </row>
    <row r="45" spans="1:3">
      <c r="A45" t="s">
        <v>51</v>
      </c>
      <c r="B45">
        <v>1</v>
      </c>
      <c r="C45">
        <v>999999999</v>
      </c>
    </row>
    <row r="46" spans="1:3">
      <c r="A46" t="s">
        <v>52</v>
      </c>
      <c r="B46">
        <v>1</v>
      </c>
      <c r="C46">
        <v>999999999</v>
      </c>
    </row>
    <row r="47" spans="1:3">
      <c r="A47" t="s">
        <v>53</v>
      </c>
      <c r="B47">
        <v>1</v>
      </c>
      <c r="C47">
        <v>999999999</v>
      </c>
    </row>
    <row r="48" spans="1:3">
      <c r="A48" t="s">
        <v>54</v>
      </c>
      <c r="B48">
        <v>1</v>
      </c>
      <c r="C48">
        <v>999999999</v>
      </c>
    </row>
    <row r="49" spans="1:3">
      <c r="A49" t="s">
        <v>55</v>
      </c>
      <c r="B49">
        <v>1</v>
      </c>
      <c r="C49">
        <v>999999999</v>
      </c>
    </row>
    <row r="50" spans="1:3">
      <c r="A50" t="s">
        <v>56</v>
      </c>
      <c r="B50">
        <v>1</v>
      </c>
      <c r="C50">
        <v>999999999</v>
      </c>
    </row>
    <row r="51" spans="1:3">
      <c r="A51" t="s">
        <v>57</v>
      </c>
      <c r="B51">
        <v>1</v>
      </c>
      <c r="C51">
        <v>999999999</v>
      </c>
    </row>
    <row r="52" spans="1:3">
      <c r="A52" t="s">
        <v>58</v>
      </c>
      <c r="B52">
        <v>1</v>
      </c>
      <c r="C52">
        <v>999999999</v>
      </c>
    </row>
    <row r="53" spans="1:3">
      <c r="A53" t="s">
        <v>65</v>
      </c>
      <c r="B53">
        <v>1</v>
      </c>
      <c r="C53">
        <v>999999999</v>
      </c>
    </row>
    <row r="54" spans="1:3">
      <c r="A54" t="s">
        <v>66</v>
      </c>
      <c r="B54">
        <v>1</v>
      </c>
      <c r="C54">
        <v>999999999</v>
      </c>
    </row>
    <row r="55" spans="1:3">
      <c r="A55" t="s">
        <v>67</v>
      </c>
      <c r="B55">
        <v>1</v>
      </c>
      <c r="C55">
        <v>999999999</v>
      </c>
    </row>
    <row r="56" spans="1:3">
      <c r="A56" t="str">
        <f>A4</f>
        <v>Austria</v>
      </c>
      <c r="B56">
        <f>B4+1</f>
        <v>2</v>
      </c>
      <c r="C56">
        <v>999999999</v>
      </c>
    </row>
    <row r="57" spans="1:3">
      <c r="A57" t="str">
        <f t="shared" ref="A57:A120" si="0">A5</f>
        <v>Bosnia H</v>
      </c>
      <c r="B57">
        <f t="shared" ref="B57:B120" si="1">B5+1</f>
        <v>2</v>
      </c>
      <c r="C57">
        <v>999999999</v>
      </c>
    </row>
    <row r="58" spans="1:3">
      <c r="A58" t="str">
        <f t="shared" si="0"/>
        <v>Belgium</v>
      </c>
      <c r="B58">
        <f t="shared" si="1"/>
        <v>2</v>
      </c>
      <c r="C58">
        <v>999999999</v>
      </c>
    </row>
    <row r="59" spans="1:3">
      <c r="A59" t="str">
        <f t="shared" si="0"/>
        <v>Bulgaria</v>
      </c>
      <c r="B59">
        <f t="shared" si="1"/>
        <v>2</v>
      </c>
      <c r="C59">
        <v>999999999</v>
      </c>
    </row>
    <row r="60" spans="1:3">
      <c r="A60" t="str">
        <f t="shared" si="0"/>
        <v>Switzerland</v>
      </c>
      <c r="B60">
        <f t="shared" si="1"/>
        <v>2</v>
      </c>
      <c r="C60">
        <v>999999999</v>
      </c>
    </row>
    <row r="61" spans="1:3">
      <c r="A61" t="str">
        <f t="shared" si="0"/>
        <v>Czech R</v>
      </c>
      <c r="B61">
        <f t="shared" si="1"/>
        <v>2</v>
      </c>
      <c r="C61">
        <v>999999999</v>
      </c>
    </row>
    <row r="62" spans="1:3">
      <c r="A62" t="str">
        <f t="shared" si="0"/>
        <v>Germany</v>
      </c>
      <c r="B62">
        <f t="shared" si="1"/>
        <v>2</v>
      </c>
      <c r="C62">
        <v>999999999</v>
      </c>
    </row>
    <row r="63" spans="1:3">
      <c r="A63" t="str">
        <f t="shared" si="0"/>
        <v>Denmark</v>
      </c>
      <c r="B63">
        <f t="shared" si="1"/>
        <v>2</v>
      </c>
      <c r="C63">
        <v>999999999</v>
      </c>
    </row>
    <row r="64" spans="1:3">
      <c r="A64" t="str">
        <f t="shared" si="0"/>
        <v>Estonia</v>
      </c>
      <c r="B64">
        <f t="shared" si="1"/>
        <v>2</v>
      </c>
      <c r="C64">
        <v>999999999</v>
      </c>
    </row>
    <row r="65" spans="1:3">
      <c r="A65" t="str">
        <f t="shared" si="0"/>
        <v>Spain</v>
      </c>
      <c r="B65">
        <f t="shared" si="1"/>
        <v>2</v>
      </c>
      <c r="C65">
        <v>999999999</v>
      </c>
    </row>
    <row r="66" spans="1:3">
      <c r="A66" t="str">
        <f t="shared" si="0"/>
        <v>Finland</v>
      </c>
      <c r="B66">
        <f t="shared" si="1"/>
        <v>2</v>
      </c>
      <c r="C66">
        <v>999999999</v>
      </c>
    </row>
    <row r="67" spans="1:3">
      <c r="A67" t="str">
        <f t="shared" si="0"/>
        <v>France</v>
      </c>
      <c r="B67">
        <f t="shared" si="1"/>
        <v>2</v>
      </c>
      <c r="C67">
        <v>999999999</v>
      </c>
    </row>
    <row r="68" spans="1:3">
      <c r="A68" t="str">
        <f t="shared" si="0"/>
        <v>Great Brit.</v>
      </c>
      <c r="B68">
        <f t="shared" si="1"/>
        <v>2</v>
      </c>
      <c r="C68">
        <v>999999999</v>
      </c>
    </row>
    <row r="69" spans="1:3">
      <c r="A69" t="str">
        <f t="shared" si="0"/>
        <v>Greece</v>
      </c>
      <c r="B69">
        <f t="shared" si="1"/>
        <v>2</v>
      </c>
      <c r="C69">
        <v>999999999</v>
      </c>
    </row>
    <row r="70" spans="1:3">
      <c r="A70" t="str">
        <f t="shared" si="0"/>
        <v>Croatia</v>
      </c>
      <c r="B70">
        <f t="shared" si="1"/>
        <v>2</v>
      </c>
      <c r="C70">
        <v>999999999</v>
      </c>
    </row>
    <row r="71" spans="1:3">
      <c r="A71" t="str">
        <f t="shared" si="0"/>
        <v>Hungary</v>
      </c>
      <c r="B71">
        <f t="shared" si="1"/>
        <v>2</v>
      </c>
      <c r="C71">
        <v>999999999</v>
      </c>
    </row>
    <row r="72" spans="1:3">
      <c r="A72" t="str">
        <f t="shared" si="0"/>
        <v>Ireland</v>
      </c>
      <c r="B72">
        <f t="shared" si="1"/>
        <v>2</v>
      </c>
      <c r="C72">
        <v>999999999</v>
      </c>
    </row>
    <row r="73" spans="1:3">
      <c r="A73" t="str">
        <f t="shared" si="0"/>
        <v>Italy</v>
      </c>
      <c r="B73">
        <f t="shared" si="1"/>
        <v>2</v>
      </c>
      <c r="C73">
        <v>999999999</v>
      </c>
    </row>
    <row r="74" spans="1:3">
      <c r="A74" t="str">
        <f t="shared" si="0"/>
        <v>Lithuania</v>
      </c>
      <c r="B74">
        <f t="shared" si="1"/>
        <v>2</v>
      </c>
      <c r="C74">
        <v>999999999</v>
      </c>
    </row>
    <row r="75" spans="1:3">
      <c r="A75" t="str">
        <f t="shared" si="0"/>
        <v>Luxemb.</v>
      </c>
      <c r="B75">
        <f t="shared" si="1"/>
        <v>2</v>
      </c>
      <c r="C75">
        <v>999999999</v>
      </c>
    </row>
    <row r="76" spans="1:3">
      <c r="A76" t="str">
        <f t="shared" si="0"/>
        <v>Latvia</v>
      </c>
      <c r="B76">
        <f t="shared" si="1"/>
        <v>2</v>
      </c>
      <c r="C76">
        <v>999999999</v>
      </c>
    </row>
    <row r="77" spans="1:3">
      <c r="A77" t="str">
        <f t="shared" si="0"/>
        <v>Macedonia</v>
      </c>
      <c r="B77">
        <f t="shared" si="1"/>
        <v>2</v>
      </c>
      <c r="C77">
        <v>999999999</v>
      </c>
    </row>
    <row r="78" spans="1:3">
      <c r="A78" t="str">
        <f t="shared" si="0"/>
        <v>Netherlands</v>
      </c>
      <c r="B78">
        <f t="shared" si="1"/>
        <v>2</v>
      </c>
      <c r="C78">
        <v>999999999</v>
      </c>
    </row>
    <row r="79" spans="1:3">
      <c r="A79" t="str">
        <f t="shared" si="0"/>
        <v>NO1</v>
      </c>
      <c r="B79">
        <f t="shared" si="1"/>
        <v>2</v>
      </c>
      <c r="C79">
        <v>999999999</v>
      </c>
    </row>
    <row r="80" spans="1:3">
      <c r="A80" t="str">
        <f t="shared" si="0"/>
        <v>NO2</v>
      </c>
      <c r="B80">
        <f t="shared" si="1"/>
        <v>2</v>
      </c>
      <c r="C80">
        <v>999999999</v>
      </c>
    </row>
    <row r="81" spans="1:3">
      <c r="A81" t="str">
        <f t="shared" si="0"/>
        <v>NO3</v>
      </c>
      <c r="B81">
        <f t="shared" si="1"/>
        <v>2</v>
      </c>
      <c r="C81">
        <v>999999999</v>
      </c>
    </row>
    <row r="82" spans="1:3">
      <c r="A82" t="str">
        <f t="shared" si="0"/>
        <v>NO4</v>
      </c>
      <c r="B82">
        <f t="shared" si="1"/>
        <v>2</v>
      </c>
      <c r="C82">
        <v>999999999</v>
      </c>
    </row>
    <row r="83" spans="1:3">
      <c r="A83" t="str">
        <f t="shared" si="0"/>
        <v>NO5</v>
      </c>
      <c r="B83">
        <f t="shared" si="1"/>
        <v>2</v>
      </c>
      <c r="C83">
        <v>999999999</v>
      </c>
    </row>
    <row r="84" spans="1:3">
      <c r="A84" t="str">
        <f t="shared" si="0"/>
        <v>Poland</v>
      </c>
      <c r="B84">
        <f t="shared" si="1"/>
        <v>2</v>
      </c>
      <c r="C84">
        <v>999999999</v>
      </c>
    </row>
    <row r="85" spans="1:3">
      <c r="A85" t="str">
        <f t="shared" si="0"/>
        <v>Portugal</v>
      </c>
      <c r="B85">
        <f t="shared" si="1"/>
        <v>2</v>
      </c>
      <c r="C85">
        <v>999999999</v>
      </c>
    </row>
    <row r="86" spans="1:3">
      <c r="A86" t="str">
        <f t="shared" si="0"/>
        <v>Romania</v>
      </c>
      <c r="B86">
        <f t="shared" si="1"/>
        <v>2</v>
      </c>
      <c r="C86">
        <v>999999999</v>
      </c>
    </row>
    <row r="87" spans="1:3">
      <c r="A87" t="str">
        <f t="shared" si="0"/>
        <v>Serbia</v>
      </c>
      <c r="B87">
        <f t="shared" si="1"/>
        <v>2</v>
      </c>
      <c r="C87">
        <v>999999999</v>
      </c>
    </row>
    <row r="88" spans="1:3">
      <c r="A88" t="str">
        <f t="shared" si="0"/>
        <v>Sweden</v>
      </c>
      <c r="B88">
        <f t="shared" si="1"/>
        <v>2</v>
      </c>
      <c r="C88">
        <v>999999999</v>
      </c>
    </row>
    <row r="89" spans="1:3">
      <c r="A89" t="str">
        <f t="shared" si="0"/>
        <v>Slovenia</v>
      </c>
      <c r="B89">
        <f t="shared" si="1"/>
        <v>2</v>
      </c>
      <c r="C89">
        <v>999999999</v>
      </c>
    </row>
    <row r="90" spans="1:3">
      <c r="A90" t="str">
        <f t="shared" si="0"/>
        <v>Slovakia</v>
      </c>
      <c r="B90">
        <f t="shared" si="1"/>
        <v>2</v>
      </c>
      <c r="C90">
        <v>999999999</v>
      </c>
    </row>
    <row r="91" spans="1:3">
      <c r="A91" t="str">
        <f t="shared" si="0"/>
        <v>Moray Firth</v>
      </c>
      <c r="B91">
        <f t="shared" si="1"/>
        <v>2</v>
      </c>
      <c r="C91">
        <v>999999999</v>
      </c>
    </row>
    <row r="92" spans="1:3">
      <c r="A92" t="str">
        <f t="shared" si="0"/>
        <v>Firth of Forth</v>
      </c>
      <c r="B92">
        <f t="shared" si="1"/>
        <v>2</v>
      </c>
      <c r="C92">
        <v>999999999</v>
      </c>
    </row>
    <row r="93" spans="1:3">
      <c r="A93" t="str">
        <f t="shared" si="0"/>
        <v>Dogger Bank</v>
      </c>
      <c r="B93">
        <f t="shared" si="1"/>
        <v>2</v>
      </c>
      <c r="C93">
        <v>999999999</v>
      </c>
    </row>
    <row r="94" spans="1:3">
      <c r="A94" t="str">
        <f t="shared" si="0"/>
        <v>Hornsea</v>
      </c>
      <c r="B94">
        <f t="shared" si="1"/>
        <v>2</v>
      </c>
      <c r="C94">
        <v>999999999</v>
      </c>
    </row>
    <row r="95" spans="1:3">
      <c r="A95" t="str">
        <f t="shared" si="0"/>
        <v>Outer Dowsing</v>
      </c>
      <c r="B95">
        <f t="shared" si="1"/>
        <v>2</v>
      </c>
      <c r="C95">
        <v>999999999</v>
      </c>
    </row>
    <row r="96" spans="1:3">
      <c r="A96" t="str">
        <f t="shared" si="0"/>
        <v>Norfolk</v>
      </c>
      <c r="B96">
        <f t="shared" si="1"/>
        <v>2</v>
      </c>
      <c r="C96">
        <v>999999999</v>
      </c>
    </row>
    <row r="97" spans="1:3">
      <c r="A97" t="str">
        <f t="shared" si="0"/>
        <v>East Anglia</v>
      </c>
      <c r="B97">
        <f t="shared" si="1"/>
        <v>2</v>
      </c>
      <c r="C97">
        <v>999999999</v>
      </c>
    </row>
    <row r="98" spans="1:3">
      <c r="A98" t="str">
        <f t="shared" si="0"/>
        <v>Borssele</v>
      </c>
      <c r="B98">
        <f t="shared" si="1"/>
        <v>2</v>
      </c>
      <c r="C98">
        <v>999999999</v>
      </c>
    </row>
    <row r="99" spans="1:3">
      <c r="A99" t="str">
        <f t="shared" si="0"/>
        <v>Hollandsee Kust</v>
      </c>
      <c r="B99">
        <f t="shared" si="1"/>
        <v>2</v>
      </c>
      <c r="C99">
        <v>999999999</v>
      </c>
    </row>
    <row r="100" spans="1:3">
      <c r="A100" t="str">
        <f t="shared" si="0"/>
        <v>Helgoländer Bucht</v>
      </c>
      <c r="B100">
        <f t="shared" si="1"/>
        <v>2</v>
      </c>
      <c r="C100">
        <v>999999999</v>
      </c>
    </row>
    <row r="101" spans="1:3">
      <c r="A101" t="str">
        <f t="shared" si="0"/>
        <v>Nordsøen</v>
      </c>
      <c r="B101">
        <f t="shared" si="1"/>
        <v>2</v>
      </c>
      <c r="C101">
        <v>999999999</v>
      </c>
    </row>
    <row r="102" spans="1:3">
      <c r="A102" t="str">
        <f t="shared" si="0"/>
        <v>Utsira Nord</v>
      </c>
      <c r="B102">
        <f t="shared" si="1"/>
        <v>2</v>
      </c>
      <c r="C102">
        <v>999999999</v>
      </c>
    </row>
    <row r="103" spans="1:3">
      <c r="A103" t="str">
        <f t="shared" si="0"/>
        <v>Sørlige Nordsjø I</v>
      </c>
      <c r="B103">
        <f t="shared" si="1"/>
        <v>2</v>
      </c>
      <c r="C103">
        <v>999999999</v>
      </c>
    </row>
    <row r="104" spans="1:3">
      <c r="A104" t="str">
        <f t="shared" si="0"/>
        <v>Sørlige Nordsjø II</v>
      </c>
      <c r="B104">
        <f t="shared" si="1"/>
        <v>2</v>
      </c>
      <c r="C104">
        <v>999999999</v>
      </c>
    </row>
    <row r="105" spans="1:3">
      <c r="A105" t="str">
        <f t="shared" si="0"/>
        <v>Energyhub EU</v>
      </c>
      <c r="B105">
        <f t="shared" si="1"/>
        <v>2</v>
      </c>
      <c r="C105">
        <v>999999999</v>
      </c>
    </row>
    <row r="106" spans="1:3">
      <c r="A106" t="str">
        <f t="shared" si="0"/>
        <v>Sleipner</v>
      </c>
      <c r="B106">
        <f t="shared" si="1"/>
        <v>2</v>
      </c>
      <c r="C106">
        <v>999999999</v>
      </c>
    </row>
    <row r="107" spans="1:3">
      <c r="A107" t="str">
        <f t="shared" si="0"/>
        <v>Draupner</v>
      </c>
      <c r="B107">
        <f t="shared" si="1"/>
        <v>2</v>
      </c>
      <c r="C107">
        <v>999999999</v>
      </c>
    </row>
    <row r="108" spans="1:3">
      <c r="A108" t="str">
        <f t="shared" si="0"/>
        <v>Austria</v>
      </c>
      <c r="B108">
        <f t="shared" si="1"/>
        <v>3</v>
      </c>
      <c r="C108">
        <v>999999999</v>
      </c>
    </row>
    <row r="109" spans="1:3">
      <c r="A109" t="str">
        <f t="shared" si="0"/>
        <v>Bosnia H</v>
      </c>
      <c r="B109">
        <f t="shared" si="1"/>
        <v>3</v>
      </c>
      <c r="C109">
        <v>999999999</v>
      </c>
    </row>
    <row r="110" spans="1:3">
      <c r="A110" t="str">
        <f t="shared" si="0"/>
        <v>Belgium</v>
      </c>
      <c r="B110">
        <f t="shared" si="1"/>
        <v>3</v>
      </c>
      <c r="C110">
        <v>999999999</v>
      </c>
    </row>
    <row r="111" spans="1:3">
      <c r="A111" t="str">
        <f t="shared" si="0"/>
        <v>Bulgaria</v>
      </c>
      <c r="B111">
        <f t="shared" si="1"/>
        <v>3</v>
      </c>
      <c r="C111">
        <v>999999999</v>
      </c>
    </row>
    <row r="112" spans="1:3">
      <c r="A112" t="str">
        <f t="shared" si="0"/>
        <v>Switzerland</v>
      </c>
      <c r="B112">
        <f t="shared" si="1"/>
        <v>3</v>
      </c>
      <c r="C112">
        <v>999999999</v>
      </c>
    </row>
    <row r="113" spans="1:3">
      <c r="A113" t="str">
        <f t="shared" si="0"/>
        <v>Czech R</v>
      </c>
      <c r="B113">
        <f t="shared" si="1"/>
        <v>3</v>
      </c>
      <c r="C113">
        <v>999999999</v>
      </c>
    </row>
    <row r="114" spans="1:3">
      <c r="A114" t="str">
        <f t="shared" si="0"/>
        <v>Germany</v>
      </c>
      <c r="B114">
        <f t="shared" si="1"/>
        <v>3</v>
      </c>
      <c r="C114">
        <v>999999999</v>
      </c>
    </row>
    <row r="115" spans="1:3">
      <c r="A115" t="str">
        <f t="shared" si="0"/>
        <v>Denmark</v>
      </c>
      <c r="B115">
        <f t="shared" si="1"/>
        <v>3</v>
      </c>
      <c r="C115">
        <v>999999999</v>
      </c>
    </row>
    <row r="116" spans="1:3">
      <c r="A116" t="str">
        <f t="shared" si="0"/>
        <v>Estonia</v>
      </c>
      <c r="B116">
        <f t="shared" si="1"/>
        <v>3</v>
      </c>
      <c r="C116">
        <v>999999999</v>
      </c>
    </row>
    <row r="117" spans="1:3">
      <c r="A117" t="str">
        <f t="shared" si="0"/>
        <v>Spain</v>
      </c>
      <c r="B117">
        <f t="shared" si="1"/>
        <v>3</v>
      </c>
      <c r="C117">
        <v>999999999</v>
      </c>
    </row>
    <row r="118" spans="1:3">
      <c r="A118" t="str">
        <f t="shared" si="0"/>
        <v>Finland</v>
      </c>
      <c r="B118">
        <f t="shared" si="1"/>
        <v>3</v>
      </c>
      <c r="C118">
        <v>999999999</v>
      </c>
    </row>
    <row r="119" spans="1:3">
      <c r="A119" t="str">
        <f t="shared" si="0"/>
        <v>France</v>
      </c>
      <c r="B119">
        <f t="shared" si="1"/>
        <v>3</v>
      </c>
      <c r="C119">
        <v>999999999</v>
      </c>
    </row>
    <row r="120" spans="1:3">
      <c r="A120" t="str">
        <f t="shared" si="0"/>
        <v>Great Brit.</v>
      </c>
      <c r="B120">
        <f t="shared" si="1"/>
        <v>3</v>
      </c>
      <c r="C120">
        <v>999999999</v>
      </c>
    </row>
    <row r="121" spans="1:3">
      <c r="A121" t="str">
        <f t="shared" ref="A121:A184" si="2">A69</f>
        <v>Greece</v>
      </c>
      <c r="B121">
        <f t="shared" ref="B121:B184" si="3">B69+1</f>
        <v>3</v>
      </c>
      <c r="C121">
        <v>999999999</v>
      </c>
    </row>
    <row r="122" spans="1:3">
      <c r="A122" t="str">
        <f t="shared" si="2"/>
        <v>Croatia</v>
      </c>
      <c r="B122">
        <f t="shared" si="3"/>
        <v>3</v>
      </c>
      <c r="C122">
        <v>999999999</v>
      </c>
    </row>
    <row r="123" spans="1:3">
      <c r="A123" t="str">
        <f t="shared" si="2"/>
        <v>Hungary</v>
      </c>
      <c r="B123">
        <f t="shared" si="3"/>
        <v>3</v>
      </c>
      <c r="C123">
        <v>999999999</v>
      </c>
    </row>
    <row r="124" spans="1:3">
      <c r="A124" t="str">
        <f t="shared" si="2"/>
        <v>Ireland</v>
      </c>
      <c r="B124">
        <f t="shared" si="3"/>
        <v>3</v>
      </c>
      <c r="C124">
        <v>999999999</v>
      </c>
    </row>
    <row r="125" spans="1:3">
      <c r="A125" t="str">
        <f t="shared" si="2"/>
        <v>Italy</v>
      </c>
      <c r="B125">
        <f t="shared" si="3"/>
        <v>3</v>
      </c>
      <c r="C125">
        <v>999999999</v>
      </c>
    </row>
    <row r="126" spans="1:3">
      <c r="A126" t="str">
        <f t="shared" si="2"/>
        <v>Lithuania</v>
      </c>
      <c r="B126">
        <f t="shared" si="3"/>
        <v>3</v>
      </c>
      <c r="C126">
        <v>999999999</v>
      </c>
    </row>
    <row r="127" spans="1:3">
      <c r="A127" t="str">
        <f t="shared" si="2"/>
        <v>Luxemb.</v>
      </c>
      <c r="B127">
        <f t="shared" si="3"/>
        <v>3</v>
      </c>
      <c r="C127">
        <v>999999999</v>
      </c>
    </row>
    <row r="128" spans="1:3">
      <c r="A128" t="str">
        <f t="shared" si="2"/>
        <v>Latvia</v>
      </c>
      <c r="B128">
        <f t="shared" si="3"/>
        <v>3</v>
      </c>
      <c r="C128">
        <v>999999999</v>
      </c>
    </row>
    <row r="129" spans="1:3">
      <c r="A129" t="str">
        <f t="shared" si="2"/>
        <v>Macedonia</v>
      </c>
      <c r="B129">
        <f t="shared" si="3"/>
        <v>3</v>
      </c>
      <c r="C129">
        <v>999999999</v>
      </c>
    </row>
    <row r="130" spans="1:3">
      <c r="A130" t="str">
        <f t="shared" si="2"/>
        <v>Netherlands</v>
      </c>
      <c r="B130">
        <f t="shared" si="3"/>
        <v>3</v>
      </c>
      <c r="C130">
        <v>999999999</v>
      </c>
    </row>
    <row r="131" spans="1:3">
      <c r="A131" t="str">
        <f t="shared" si="2"/>
        <v>NO1</v>
      </c>
      <c r="B131">
        <f t="shared" si="3"/>
        <v>3</v>
      </c>
      <c r="C131">
        <v>999999999</v>
      </c>
    </row>
    <row r="132" spans="1:3">
      <c r="A132" t="str">
        <f t="shared" si="2"/>
        <v>NO2</v>
      </c>
      <c r="B132">
        <f t="shared" si="3"/>
        <v>3</v>
      </c>
      <c r="C132">
        <v>999999999</v>
      </c>
    </row>
    <row r="133" spans="1:3">
      <c r="A133" t="str">
        <f t="shared" si="2"/>
        <v>NO3</v>
      </c>
      <c r="B133">
        <f t="shared" si="3"/>
        <v>3</v>
      </c>
      <c r="C133">
        <v>999999999</v>
      </c>
    </row>
    <row r="134" spans="1:3">
      <c r="A134" t="str">
        <f t="shared" si="2"/>
        <v>NO4</v>
      </c>
      <c r="B134">
        <f t="shared" si="3"/>
        <v>3</v>
      </c>
      <c r="C134">
        <v>999999999</v>
      </c>
    </row>
    <row r="135" spans="1:3">
      <c r="A135" t="str">
        <f t="shared" si="2"/>
        <v>NO5</v>
      </c>
      <c r="B135">
        <f t="shared" si="3"/>
        <v>3</v>
      </c>
      <c r="C135">
        <v>999999999</v>
      </c>
    </row>
    <row r="136" spans="1:3">
      <c r="A136" t="str">
        <f t="shared" si="2"/>
        <v>Poland</v>
      </c>
      <c r="B136">
        <f t="shared" si="3"/>
        <v>3</v>
      </c>
      <c r="C136">
        <v>999999999</v>
      </c>
    </row>
    <row r="137" spans="1:3">
      <c r="A137" t="str">
        <f t="shared" si="2"/>
        <v>Portugal</v>
      </c>
      <c r="B137">
        <f t="shared" si="3"/>
        <v>3</v>
      </c>
      <c r="C137">
        <v>999999999</v>
      </c>
    </row>
    <row r="138" spans="1:3">
      <c r="A138" t="str">
        <f t="shared" si="2"/>
        <v>Romania</v>
      </c>
      <c r="B138">
        <f t="shared" si="3"/>
        <v>3</v>
      </c>
      <c r="C138">
        <v>999999999</v>
      </c>
    </row>
    <row r="139" spans="1:3">
      <c r="A139" t="str">
        <f t="shared" si="2"/>
        <v>Serbia</v>
      </c>
      <c r="B139">
        <f t="shared" si="3"/>
        <v>3</v>
      </c>
      <c r="C139">
        <v>999999999</v>
      </c>
    </row>
    <row r="140" spans="1:3">
      <c r="A140" t="str">
        <f t="shared" si="2"/>
        <v>Sweden</v>
      </c>
      <c r="B140">
        <f t="shared" si="3"/>
        <v>3</v>
      </c>
      <c r="C140">
        <v>999999999</v>
      </c>
    </row>
    <row r="141" spans="1:3">
      <c r="A141" t="str">
        <f t="shared" si="2"/>
        <v>Slovenia</v>
      </c>
      <c r="B141">
        <f t="shared" si="3"/>
        <v>3</v>
      </c>
      <c r="C141">
        <v>999999999</v>
      </c>
    </row>
    <row r="142" spans="1:3">
      <c r="A142" t="str">
        <f t="shared" si="2"/>
        <v>Slovakia</v>
      </c>
      <c r="B142">
        <f t="shared" si="3"/>
        <v>3</v>
      </c>
      <c r="C142">
        <v>999999999</v>
      </c>
    </row>
    <row r="143" spans="1:3">
      <c r="A143" t="str">
        <f t="shared" si="2"/>
        <v>Moray Firth</v>
      </c>
      <c r="B143">
        <f t="shared" si="3"/>
        <v>3</v>
      </c>
      <c r="C143">
        <v>999999999</v>
      </c>
    </row>
    <row r="144" spans="1:3">
      <c r="A144" t="str">
        <f t="shared" si="2"/>
        <v>Firth of Forth</v>
      </c>
      <c r="B144">
        <f t="shared" si="3"/>
        <v>3</v>
      </c>
      <c r="C144">
        <v>999999999</v>
      </c>
    </row>
    <row r="145" spans="1:3">
      <c r="A145" t="str">
        <f t="shared" si="2"/>
        <v>Dogger Bank</v>
      </c>
      <c r="B145">
        <f t="shared" si="3"/>
        <v>3</v>
      </c>
      <c r="C145">
        <v>999999999</v>
      </c>
    </row>
    <row r="146" spans="1:3">
      <c r="A146" t="str">
        <f t="shared" si="2"/>
        <v>Hornsea</v>
      </c>
      <c r="B146">
        <f t="shared" si="3"/>
        <v>3</v>
      </c>
      <c r="C146">
        <v>999999999</v>
      </c>
    </row>
    <row r="147" spans="1:3">
      <c r="A147" t="str">
        <f t="shared" si="2"/>
        <v>Outer Dowsing</v>
      </c>
      <c r="B147">
        <f t="shared" si="3"/>
        <v>3</v>
      </c>
      <c r="C147">
        <v>999999999</v>
      </c>
    </row>
    <row r="148" spans="1:3">
      <c r="A148" t="str">
        <f t="shared" si="2"/>
        <v>Norfolk</v>
      </c>
      <c r="B148">
        <f t="shared" si="3"/>
        <v>3</v>
      </c>
      <c r="C148">
        <v>999999999</v>
      </c>
    </row>
    <row r="149" spans="1:3">
      <c r="A149" t="str">
        <f t="shared" si="2"/>
        <v>East Anglia</v>
      </c>
      <c r="B149">
        <f t="shared" si="3"/>
        <v>3</v>
      </c>
      <c r="C149">
        <v>999999999</v>
      </c>
    </row>
    <row r="150" spans="1:3">
      <c r="A150" t="str">
        <f t="shared" si="2"/>
        <v>Borssele</v>
      </c>
      <c r="B150">
        <f t="shared" si="3"/>
        <v>3</v>
      </c>
      <c r="C150">
        <v>999999999</v>
      </c>
    </row>
    <row r="151" spans="1:3">
      <c r="A151" t="str">
        <f t="shared" si="2"/>
        <v>Hollandsee Kust</v>
      </c>
      <c r="B151">
        <f t="shared" si="3"/>
        <v>3</v>
      </c>
      <c r="C151">
        <v>999999999</v>
      </c>
    </row>
    <row r="152" spans="1:3">
      <c r="A152" t="str">
        <f t="shared" si="2"/>
        <v>Helgoländer Bucht</v>
      </c>
      <c r="B152">
        <f t="shared" si="3"/>
        <v>3</v>
      </c>
      <c r="C152">
        <v>999999999</v>
      </c>
    </row>
    <row r="153" spans="1:3">
      <c r="A153" t="str">
        <f t="shared" si="2"/>
        <v>Nordsøen</v>
      </c>
      <c r="B153">
        <f t="shared" si="3"/>
        <v>3</v>
      </c>
      <c r="C153">
        <v>999999999</v>
      </c>
    </row>
    <row r="154" spans="1:3">
      <c r="A154" t="str">
        <f t="shared" si="2"/>
        <v>Utsira Nord</v>
      </c>
      <c r="B154">
        <f t="shared" si="3"/>
        <v>3</v>
      </c>
      <c r="C154">
        <v>999999999</v>
      </c>
    </row>
    <row r="155" spans="1:3">
      <c r="A155" t="str">
        <f t="shared" si="2"/>
        <v>Sørlige Nordsjø I</v>
      </c>
      <c r="B155">
        <f t="shared" si="3"/>
        <v>3</v>
      </c>
      <c r="C155">
        <v>999999999</v>
      </c>
    </row>
    <row r="156" spans="1:3">
      <c r="A156" t="str">
        <f t="shared" si="2"/>
        <v>Sørlige Nordsjø II</v>
      </c>
      <c r="B156">
        <f t="shared" si="3"/>
        <v>3</v>
      </c>
      <c r="C156">
        <v>999999999</v>
      </c>
    </row>
    <row r="157" spans="1:3">
      <c r="A157" t="str">
        <f t="shared" si="2"/>
        <v>Energyhub EU</v>
      </c>
      <c r="B157">
        <f t="shared" si="3"/>
        <v>3</v>
      </c>
      <c r="C157">
        <v>999999999</v>
      </c>
    </row>
    <row r="158" spans="1:3">
      <c r="A158" t="str">
        <f t="shared" si="2"/>
        <v>Sleipner</v>
      </c>
      <c r="B158">
        <f t="shared" si="3"/>
        <v>3</v>
      </c>
      <c r="C158">
        <v>999999999</v>
      </c>
    </row>
    <row r="159" spans="1:3">
      <c r="A159" t="str">
        <f t="shared" si="2"/>
        <v>Draupner</v>
      </c>
      <c r="B159">
        <f t="shared" si="3"/>
        <v>3</v>
      </c>
      <c r="C159">
        <v>999999999</v>
      </c>
    </row>
    <row r="160" spans="1:3">
      <c r="A160" t="str">
        <f t="shared" si="2"/>
        <v>Austria</v>
      </c>
      <c r="B160">
        <f t="shared" si="3"/>
        <v>4</v>
      </c>
      <c r="C160">
        <v>999999999</v>
      </c>
    </row>
    <row r="161" spans="1:3">
      <c r="A161" t="str">
        <f t="shared" si="2"/>
        <v>Bosnia H</v>
      </c>
      <c r="B161">
        <f t="shared" si="3"/>
        <v>4</v>
      </c>
      <c r="C161">
        <v>999999999</v>
      </c>
    </row>
    <row r="162" spans="1:3">
      <c r="A162" t="str">
        <f t="shared" si="2"/>
        <v>Belgium</v>
      </c>
      <c r="B162">
        <f t="shared" si="3"/>
        <v>4</v>
      </c>
      <c r="C162">
        <v>999999999</v>
      </c>
    </row>
    <row r="163" spans="1:3">
      <c r="A163" t="str">
        <f t="shared" si="2"/>
        <v>Bulgaria</v>
      </c>
      <c r="B163">
        <f t="shared" si="3"/>
        <v>4</v>
      </c>
      <c r="C163">
        <v>999999999</v>
      </c>
    </row>
    <row r="164" spans="1:3">
      <c r="A164" t="str">
        <f t="shared" si="2"/>
        <v>Switzerland</v>
      </c>
      <c r="B164">
        <f t="shared" si="3"/>
        <v>4</v>
      </c>
      <c r="C164">
        <v>999999999</v>
      </c>
    </row>
    <row r="165" spans="1:3">
      <c r="A165" t="str">
        <f t="shared" si="2"/>
        <v>Czech R</v>
      </c>
      <c r="B165">
        <f t="shared" si="3"/>
        <v>4</v>
      </c>
      <c r="C165">
        <v>999999999</v>
      </c>
    </row>
    <row r="166" spans="1:3">
      <c r="A166" t="str">
        <f t="shared" si="2"/>
        <v>Germany</v>
      </c>
      <c r="B166">
        <f t="shared" si="3"/>
        <v>4</v>
      </c>
      <c r="C166">
        <v>999999999</v>
      </c>
    </row>
    <row r="167" spans="1:3">
      <c r="A167" t="str">
        <f t="shared" si="2"/>
        <v>Denmark</v>
      </c>
      <c r="B167">
        <f t="shared" si="3"/>
        <v>4</v>
      </c>
      <c r="C167">
        <v>999999999</v>
      </c>
    </row>
    <row r="168" spans="1:3">
      <c r="A168" t="str">
        <f t="shared" si="2"/>
        <v>Estonia</v>
      </c>
      <c r="B168">
        <f t="shared" si="3"/>
        <v>4</v>
      </c>
      <c r="C168">
        <v>999999999</v>
      </c>
    </row>
    <row r="169" spans="1:3">
      <c r="A169" t="str">
        <f t="shared" si="2"/>
        <v>Spain</v>
      </c>
      <c r="B169">
        <f t="shared" si="3"/>
        <v>4</v>
      </c>
      <c r="C169">
        <v>999999999</v>
      </c>
    </row>
    <row r="170" spans="1:3">
      <c r="A170" t="str">
        <f t="shared" si="2"/>
        <v>Finland</v>
      </c>
      <c r="B170">
        <f t="shared" si="3"/>
        <v>4</v>
      </c>
      <c r="C170">
        <v>999999999</v>
      </c>
    </row>
    <row r="171" spans="1:3">
      <c r="A171" t="str">
        <f t="shared" si="2"/>
        <v>France</v>
      </c>
      <c r="B171">
        <f t="shared" si="3"/>
        <v>4</v>
      </c>
      <c r="C171">
        <v>999999999</v>
      </c>
    </row>
    <row r="172" spans="1:3">
      <c r="A172" t="str">
        <f t="shared" si="2"/>
        <v>Great Brit.</v>
      </c>
      <c r="B172">
        <f t="shared" si="3"/>
        <v>4</v>
      </c>
      <c r="C172">
        <v>999999999</v>
      </c>
    </row>
    <row r="173" spans="1:3">
      <c r="A173" t="str">
        <f t="shared" si="2"/>
        <v>Greece</v>
      </c>
      <c r="B173">
        <f t="shared" si="3"/>
        <v>4</v>
      </c>
      <c r="C173">
        <v>999999999</v>
      </c>
    </row>
    <row r="174" spans="1:3">
      <c r="A174" t="str">
        <f t="shared" si="2"/>
        <v>Croatia</v>
      </c>
      <c r="B174">
        <f t="shared" si="3"/>
        <v>4</v>
      </c>
      <c r="C174">
        <v>999999999</v>
      </c>
    </row>
    <row r="175" spans="1:3">
      <c r="A175" t="str">
        <f t="shared" si="2"/>
        <v>Hungary</v>
      </c>
      <c r="B175">
        <f t="shared" si="3"/>
        <v>4</v>
      </c>
      <c r="C175">
        <v>999999999</v>
      </c>
    </row>
    <row r="176" spans="1:3">
      <c r="A176" t="str">
        <f t="shared" si="2"/>
        <v>Ireland</v>
      </c>
      <c r="B176">
        <f t="shared" si="3"/>
        <v>4</v>
      </c>
      <c r="C176">
        <v>999999999</v>
      </c>
    </row>
    <row r="177" spans="1:3">
      <c r="A177" t="str">
        <f t="shared" si="2"/>
        <v>Italy</v>
      </c>
      <c r="B177">
        <f t="shared" si="3"/>
        <v>4</v>
      </c>
      <c r="C177">
        <v>999999999</v>
      </c>
    </row>
    <row r="178" spans="1:3">
      <c r="A178" t="str">
        <f t="shared" si="2"/>
        <v>Lithuania</v>
      </c>
      <c r="B178">
        <f t="shared" si="3"/>
        <v>4</v>
      </c>
      <c r="C178">
        <v>999999999</v>
      </c>
    </row>
    <row r="179" spans="1:3">
      <c r="A179" t="str">
        <f t="shared" si="2"/>
        <v>Luxemb.</v>
      </c>
      <c r="B179">
        <f t="shared" si="3"/>
        <v>4</v>
      </c>
      <c r="C179">
        <v>999999999</v>
      </c>
    </row>
    <row r="180" spans="1:3">
      <c r="A180" t="str">
        <f t="shared" si="2"/>
        <v>Latvia</v>
      </c>
      <c r="B180">
        <f t="shared" si="3"/>
        <v>4</v>
      </c>
      <c r="C180">
        <v>999999999</v>
      </c>
    </row>
    <row r="181" spans="1:3">
      <c r="A181" t="str">
        <f t="shared" si="2"/>
        <v>Macedonia</v>
      </c>
      <c r="B181">
        <f t="shared" si="3"/>
        <v>4</v>
      </c>
      <c r="C181">
        <v>999999999</v>
      </c>
    </row>
    <row r="182" spans="1:3">
      <c r="A182" t="str">
        <f t="shared" si="2"/>
        <v>Netherlands</v>
      </c>
      <c r="B182">
        <f t="shared" si="3"/>
        <v>4</v>
      </c>
      <c r="C182">
        <v>999999999</v>
      </c>
    </row>
    <row r="183" spans="1:3">
      <c r="A183" t="str">
        <f t="shared" si="2"/>
        <v>NO1</v>
      </c>
      <c r="B183">
        <f t="shared" si="3"/>
        <v>4</v>
      </c>
      <c r="C183">
        <v>999999999</v>
      </c>
    </row>
    <row r="184" spans="1:3">
      <c r="A184" t="str">
        <f t="shared" si="2"/>
        <v>NO2</v>
      </c>
      <c r="B184">
        <f t="shared" si="3"/>
        <v>4</v>
      </c>
      <c r="C184">
        <v>999999999</v>
      </c>
    </row>
    <row r="185" spans="1:3">
      <c r="A185" t="str">
        <f t="shared" ref="A185:A248" si="4">A133</f>
        <v>NO3</v>
      </c>
      <c r="B185">
        <f t="shared" ref="B185:B248" si="5">B133+1</f>
        <v>4</v>
      </c>
      <c r="C185">
        <v>999999999</v>
      </c>
    </row>
    <row r="186" spans="1:3">
      <c r="A186" t="str">
        <f t="shared" si="4"/>
        <v>NO4</v>
      </c>
      <c r="B186">
        <f t="shared" si="5"/>
        <v>4</v>
      </c>
      <c r="C186">
        <v>999999999</v>
      </c>
    </row>
    <row r="187" spans="1:3">
      <c r="A187" t="str">
        <f t="shared" si="4"/>
        <v>NO5</v>
      </c>
      <c r="B187">
        <f t="shared" si="5"/>
        <v>4</v>
      </c>
      <c r="C187">
        <v>999999999</v>
      </c>
    </row>
    <row r="188" spans="1:3">
      <c r="A188" t="str">
        <f t="shared" si="4"/>
        <v>Poland</v>
      </c>
      <c r="B188">
        <f t="shared" si="5"/>
        <v>4</v>
      </c>
      <c r="C188">
        <v>999999999</v>
      </c>
    </row>
    <row r="189" spans="1:3">
      <c r="A189" t="str">
        <f t="shared" si="4"/>
        <v>Portugal</v>
      </c>
      <c r="B189">
        <f t="shared" si="5"/>
        <v>4</v>
      </c>
      <c r="C189">
        <v>999999999</v>
      </c>
    </row>
    <row r="190" spans="1:3">
      <c r="A190" t="str">
        <f t="shared" si="4"/>
        <v>Romania</v>
      </c>
      <c r="B190">
        <f t="shared" si="5"/>
        <v>4</v>
      </c>
      <c r="C190">
        <v>999999999</v>
      </c>
    </row>
    <row r="191" spans="1:3">
      <c r="A191" t="str">
        <f t="shared" si="4"/>
        <v>Serbia</v>
      </c>
      <c r="B191">
        <f t="shared" si="5"/>
        <v>4</v>
      </c>
      <c r="C191">
        <v>999999999</v>
      </c>
    </row>
    <row r="192" spans="1:3">
      <c r="A192" t="str">
        <f t="shared" si="4"/>
        <v>Sweden</v>
      </c>
      <c r="B192">
        <f t="shared" si="5"/>
        <v>4</v>
      </c>
      <c r="C192">
        <v>999999999</v>
      </c>
    </row>
    <row r="193" spans="1:3">
      <c r="A193" t="str">
        <f t="shared" si="4"/>
        <v>Slovenia</v>
      </c>
      <c r="B193">
        <f t="shared" si="5"/>
        <v>4</v>
      </c>
      <c r="C193">
        <v>999999999</v>
      </c>
    </row>
    <row r="194" spans="1:3">
      <c r="A194" t="str">
        <f t="shared" si="4"/>
        <v>Slovakia</v>
      </c>
      <c r="B194">
        <f t="shared" si="5"/>
        <v>4</v>
      </c>
      <c r="C194">
        <v>999999999</v>
      </c>
    </row>
    <row r="195" spans="1:3">
      <c r="A195" t="str">
        <f t="shared" si="4"/>
        <v>Moray Firth</v>
      </c>
      <c r="B195">
        <f t="shared" si="5"/>
        <v>4</v>
      </c>
      <c r="C195">
        <v>999999999</v>
      </c>
    </row>
    <row r="196" spans="1:3">
      <c r="A196" t="str">
        <f t="shared" si="4"/>
        <v>Firth of Forth</v>
      </c>
      <c r="B196">
        <f t="shared" si="5"/>
        <v>4</v>
      </c>
      <c r="C196">
        <v>999999999</v>
      </c>
    </row>
    <row r="197" spans="1:3">
      <c r="A197" t="str">
        <f t="shared" si="4"/>
        <v>Dogger Bank</v>
      </c>
      <c r="B197">
        <f t="shared" si="5"/>
        <v>4</v>
      </c>
      <c r="C197">
        <v>999999999</v>
      </c>
    </row>
    <row r="198" spans="1:3">
      <c r="A198" t="str">
        <f t="shared" si="4"/>
        <v>Hornsea</v>
      </c>
      <c r="B198">
        <f t="shared" si="5"/>
        <v>4</v>
      </c>
      <c r="C198">
        <v>999999999</v>
      </c>
    </row>
    <row r="199" spans="1:3">
      <c r="A199" t="str">
        <f t="shared" si="4"/>
        <v>Outer Dowsing</v>
      </c>
      <c r="B199">
        <f t="shared" si="5"/>
        <v>4</v>
      </c>
      <c r="C199">
        <v>999999999</v>
      </c>
    </row>
    <row r="200" spans="1:3">
      <c r="A200" t="str">
        <f t="shared" si="4"/>
        <v>Norfolk</v>
      </c>
      <c r="B200">
        <f t="shared" si="5"/>
        <v>4</v>
      </c>
      <c r="C200">
        <v>999999999</v>
      </c>
    </row>
    <row r="201" spans="1:3">
      <c r="A201" t="str">
        <f t="shared" si="4"/>
        <v>East Anglia</v>
      </c>
      <c r="B201">
        <f t="shared" si="5"/>
        <v>4</v>
      </c>
      <c r="C201">
        <v>999999999</v>
      </c>
    </row>
    <row r="202" spans="1:3">
      <c r="A202" t="str">
        <f t="shared" si="4"/>
        <v>Borssele</v>
      </c>
      <c r="B202">
        <f t="shared" si="5"/>
        <v>4</v>
      </c>
      <c r="C202">
        <v>999999999</v>
      </c>
    </row>
    <row r="203" spans="1:3">
      <c r="A203" t="str">
        <f t="shared" si="4"/>
        <v>Hollandsee Kust</v>
      </c>
      <c r="B203">
        <f t="shared" si="5"/>
        <v>4</v>
      </c>
      <c r="C203">
        <v>999999999</v>
      </c>
    </row>
    <row r="204" spans="1:3">
      <c r="A204" t="str">
        <f t="shared" si="4"/>
        <v>Helgoländer Bucht</v>
      </c>
      <c r="B204">
        <f t="shared" si="5"/>
        <v>4</v>
      </c>
      <c r="C204">
        <v>999999999</v>
      </c>
    </row>
    <row r="205" spans="1:3">
      <c r="A205" t="str">
        <f t="shared" si="4"/>
        <v>Nordsøen</v>
      </c>
      <c r="B205">
        <f t="shared" si="5"/>
        <v>4</v>
      </c>
      <c r="C205">
        <v>999999999</v>
      </c>
    </row>
    <row r="206" spans="1:3">
      <c r="A206" t="str">
        <f t="shared" si="4"/>
        <v>Utsira Nord</v>
      </c>
      <c r="B206">
        <f t="shared" si="5"/>
        <v>4</v>
      </c>
      <c r="C206">
        <v>999999999</v>
      </c>
    </row>
    <row r="207" spans="1:3">
      <c r="A207" t="str">
        <f t="shared" si="4"/>
        <v>Sørlige Nordsjø I</v>
      </c>
      <c r="B207">
        <f t="shared" si="5"/>
        <v>4</v>
      </c>
      <c r="C207">
        <v>999999999</v>
      </c>
    </row>
    <row r="208" spans="1:3">
      <c r="A208" t="str">
        <f t="shared" si="4"/>
        <v>Sørlige Nordsjø II</v>
      </c>
      <c r="B208">
        <f t="shared" si="5"/>
        <v>4</v>
      </c>
      <c r="C208">
        <v>999999999</v>
      </c>
    </row>
    <row r="209" spans="1:3">
      <c r="A209" t="str">
        <f t="shared" si="4"/>
        <v>Energyhub EU</v>
      </c>
      <c r="B209">
        <f t="shared" si="5"/>
        <v>4</v>
      </c>
      <c r="C209">
        <v>999999999</v>
      </c>
    </row>
    <row r="210" spans="1:3">
      <c r="A210" t="str">
        <f t="shared" si="4"/>
        <v>Sleipner</v>
      </c>
      <c r="B210">
        <f t="shared" si="5"/>
        <v>4</v>
      </c>
      <c r="C210">
        <v>999999999</v>
      </c>
    </row>
    <row r="211" spans="1:3">
      <c r="A211" t="str">
        <f t="shared" si="4"/>
        <v>Draupner</v>
      </c>
      <c r="B211">
        <f t="shared" si="5"/>
        <v>4</v>
      </c>
      <c r="C211">
        <v>999999999</v>
      </c>
    </row>
    <row r="212" spans="1:3">
      <c r="A212" t="str">
        <f t="shared" si="4"/>
        <v>Austria</v>
      </c>
      <c r="B212">
        <f t="shared" si="5"/>
        <v>5</v>
      </c>
      <c r="C212">
        <v>999999999</v>
      </c>
    </row>
    <row r="213" spans="1:3">
      <c r="A213" t="str">
        <f t="shared" si="4"/>
        <v>Bosnia H</v>
      </c>
      <c r="B213">
        <f t="shared" si="5"/>
        <v>5</v>
      </c>
      <c r="C213">
        <v>999999999</v>
      </c>
    </row>
    <row r="214" spans="1:3">
      <c r="A214" t="str">
        <f t="shared" si="4"/>
        <v>Belgium</v>
      </c>
      <c r="B214">
        <f t="shared" si="5"/>
        <v>5</v>
      </c>
      <c r="C214">
        <v>999999999</v>
      </c>
    </row>
    <row r="215" spans="1:3">
      <c r="A215" t="str">
        <f t="shared" si="4"/>
        <v>Bulgaria</v>
      </c>
      <c r="B215">
        <f t="shared" si="5"/>
        <v>5</v>
      </c>
      <c r="C215">
        <v>999999999</v>
      </c>
    </row>
    <row r="216" spans="1:3">
      <c r="A216" t="str">
        <f t="shared" si="4"/>
        <v>Switzerland</v>
      </c>
      <c r="B216">
        <f t="shared" si="5"/>
        <v>5</v>
      </c>
      <c r="C216">
        <v>999999999</v>
      </c>
    </row>
    <row r="217" spans="1:3">
      <c r="A217" t="str">
        <f t="shared" si="4"/>
        <v>Czech R</v>
      </c>
      <c r="B217">
        <f t="shared" si="5"/>
        <v>5</v>
      </c>
      <c r="C217">
        <v>999999999</v>
      </c>
    </row>
    <row r="218" spans="1:3">
      <c r="A218" t="str">
        <f t="shared" si="4"/>
        <v>Germany</v>
      </c>
      <c r="B218">
        <f t="shared" si="5"/>
        <v>5</v>
      </c>
      <c r="C218">
        <v>999999999</v>
      </c>
    </row>
    <row r="219" spans="1:3">
      <c r="A219" t="str">
        <f t="shared" si="4"/>
        <v>Denmark</v>
      </c>
      <c r="B219">
        <f t="shared" si="5"/>
        <v>5</v>
      </c>
      <c r="C219">
        <v>999999999</v>
      </c>
    </row>
    <row r="220" spans="1:3">
      <c r="A220" t="str">
        <f t="shared" si="4"/>
        <v>Estonia</v>
      </c>
      <c r="B220">
        <f t="shared" si="5"/>
        <v>5</v>
      </c>
      <c r="C220">
        <v>999999999</v>
      </c>
    </row>
    <row r="221" spans="1:3">
      <c r="A221" t="str">
        <f t="shared" si="4"/>
        <v>Spain</v>
      </c>
      <c r="B221">
        <f t="shared" si="5"/>
        <v>5</v>
      </c>
      <c r="C221">
        <v>999999999</v>
      </c>
    </row>
    <row r="222" spans="1:3">
      <c r="A222" t="str">
        <f t="shared" si="4"/>
        <v>Finland</v>
      </c>
      <c r="B222">
        <f t="shared" si="5"/>
        <v>5</v>
      </c>
      <c r="C222">
        <v>999999999</v>
      </c>
    </row>
    <row r="223" spans="1:3">
      <c r="A223" t="str">
        <f t="shared" si="4"/>
        <v>France</v>
      </c>
      <c r="B223">
        <f t="shared" si="5"/>
        <v>5</v>
      </c>
      <c r="C223">
        <v>999999999</v>
      </c>
    </row>
    <row r="224" spans="1:3">
      <c r="A224" t="str">
        <f t="shared" si="4"/>
        <v>Great Brit.</v>
      </c>
      <c r="B224">
        <f t="shared" si="5"/>
        <v>5</v>
      </c>
      <c r="C224">
        <v>999999999</v>
      </c>
    </row>
    <row r="225" spans="1:3">
      <c r="A225" t="str">
        <f t="shared" si="4"/>
        <v>Greece</v>
      </c>
      <c r="B225">
        <f t="shared" si="5"/>
        <v>5</v>
      </c>
      <c r="C225">
        <v>999999999</v>
      </c>
    </row>
    <row r="226" spans="1:3">
      <c r="A226" t="str">
        <f t="shared" si="4"/>
        <v>Croatia</v>
      </c>
      <c r="B226">
        <f t="shared" si="5"/>
        <v>5</v>
      </c>
      <c r="C226">
        <v>999999999</v>
      </c>
    </row>
    <row r="227" spans="1:3">
      <c r="A227" t="str">
        <f t="shared" si="4"/>
        <v>Hungary</v>
      </c>
      <c r="B227">
        <f t="shared" si="5"/>
        <v>5</v>
      </c>
      <c r="C227">
        <v>999999999</v>
      </c>
    </row>
    <row r="228" spans="1:3">
      <c r="A228" t="str">
        <f t="shared" si="4"/>
        <v>Ireland</v>
      </c>
      <c r="B228">
        <f t="shared" si="5"/>
        <v>5</v>
      </c>
      <c r="C228">
        <v>999999999</v>
      </c>
    </row>
    <row r="229" spans="1:3">
      <c r="A229" t="str">
        <f t="shared" si="4"/>
        <v>Italy</v>
      </c>
      <c r="B229">
        <f t="shared" si="5"/>
        <v>5</v>
      </c>
      <c r="C229">
        <v>999999999</v>
      </c>
    </row>
    <row r="230" spans="1:3">
      <c r="A230" t="str">
        <f t="shared" si="4"/>
        <v>Lithuania</v>
      </c>
      <c r="B230">
        <f t="shared" si="5"/>
        <v>5</v>
      </c>
      <c r="C230">
        <v>999999999</v>
      </c>
    </row>
    <row r="231" spans="1:3">
      <c r="A231" t="str">
        <f t="shared" si="4"/>
        <v>Luxemb.</v>
      </c>
      <c r="B231">
        <f t="shared" si="5"/>
        <v>5</v>
      </c>
      <c r="C231">
        <v>999999999</v>
      </c>
    </row>
    <row r="232" spans="1:3">
      <c r="A232" t="str">
        <f t="shared" si="4"/>
        <v>Latvia</v>
      </c>
      <c r="B232">
        <f t="shared" si="5"/>
        <v>5</v>
      </c>
      <c r="C232">
        <v>999999999</v>
      </c>
    </row>
    <row r="233" spans="1:3">
      <c r="A233" t="str">
        <f t="shared" si="4"/>
        <v>Macedonia</v>
      </c>
      <c r="B233">
        <f t="shared" si="5"/>
        <v>5</v>
      </c>
      <c r="C233">
        <v>999999999</v>
      </c>
    </row>
    <row r="234" spans="1:3">
      <c r="A234" t="str">
        <f t="shared" si="4"/>
        <v>Netherlands</v>
      </c>
      <c r="B234">
        <f t="shared" si="5"/>
        <v>5</v>
      </c>
      <c r="C234">
        <v>999999999</v>
      </c>
    </row>
    <row r="235" spans="1:3">
      <c r="A235" t="str">
        <f t="shared" si="4"/>
        <v>NO1</v>
      </c>
      <c r="B235">
        <f t="shared" si="5"/>
        <v>5</v>
      </c>
      <c r="C235">
        <v>999999999</v>
      </c>
    </row>
    <row r="236" spans="1:3">
      <c r="A236" t="str">
        <f t="shared" si="4"/>
        <v>NO2</v>
      </c>
      <c r="B236">
        <f t="shared" si="5"/>
        <v>5</v>
      </c>
      <c r="C236">
        <v>999999999</v>
      </c>
    </row>
    <row r="237" spans="1:3">
      <c r="A237" t="str">
        <f t="shared" si="4"/>
        <v>NO3</v>
      </c>
      <c r="B237">
        <f t="shared" si="5"/>
        <v>5</v>
      </c>
      <c r="C237">
        <v>999999999</v>
      </c>
    </row>
    <row r="238" spans="1:3">
      <c r="A238" t="str">
        <f t="shared" si="4"/>
        <v>NO4</v>
      </c>
      <c r="B238">
        <f t="shared" si="5"/>
        <v>5</v>
      </c>
      <c r="C238">
        <v>999999999</v>
      </c>
    </row>
    <row r="239" spans="1:3">
      <c r="A239" t="str">
        <f t="shared" si="4"/>
        <v>NO5</v>
      </c>
      <c r="B239">
        <f t="shared" si="5"/>
        <v>5</v>
      </c>
      <c r="C239">
        <v>999999999</v>
      </c>
    </row>
    <row r="240" spans="1:3">
      <c r="A240" t="str">
        <f t="shared" si="4"/>
        <v>Poland</v>
      </c>
      <c r="B240">
        <f t="shared" si="5"/>
        <v>5</v>
      </c>
      <c r="C240">
        <v>999999999</v>
      </c>
    </row>
    <row r="241" spans="1:3">
      <c r="A241" t="str">
        <f t="shared" si="4"/>
        <v>Portugal</v>
      </c>
      <c r="B241">
        <f t="shared" si="5"/>
        <v>5</v>
      </c>
      <c r="C241">
        <v>999999999</v>
      </c>
    </row>
    <row r="242" spans="1:3">
      <c r="A242" t="str">
        <f t="shared" si="4"/>
        <v>Romania</v>
      </c>
      <c r="B242">
        <f t="shared" si="5"/>
        <v>5</v>
      </c>
      <c r="C242">
        <v>999999999</v>
      </c>
    </row>
    <row r="243" spans="1:3">
      <c r="A243" t="str">
        <f t="shared" si="4"/>
        <v>Serbia</v>
      </c>
      <c r="B243">
        <f t="shared" si="5"/>
        <v>5</v>
      </c>
      <c r="C243">
        <v>999999999</v>
      </c>
    </row>
    <row r="244" spans="1:3">
      <c r="A244" t="str">
        <f t="shared" si="4"/>
        <v>Sweden</v>
      </c>
      <c r="B244">
        <f t="shared" si="5"/>
        <v>5</v>
      </c>
      <c r="C244">
        <v>999999999</v>
      </c>
    </row>
    <row r="245" spans="1:3">
      <c r="A245" t="str">
        <f t="shared" si="4"/>
        <v>Slovenia</v>
      </c>
      <c r="B245">
        <f t="shared" si="5"/>
        <v>5</v>
      </c>
      <c r="C245">
        <v>999999999</v>
      </c>
    </row>
    <row r="246" spans="1:3">
      <c r="A246" t="str">
        <f t="shared" si="4"/>
        <v>Slovakia</v>
      </c>
      <c r="B246">
        <f t="shared" si="5"/>
        <v>5</v>
      </c>
      <c r="C246">
        <v>999999999</v>
      </c>
    </row>
    <row r="247" spans="1:3">
      <c r="A247" t="str">
        <f t="shared" si="4"/>
        <v>Moray Firth</v>
      </c>
      <c r="B247">
        <f t="shared" si="5"/>
        <v>5</v>
      </c>
      <c r="C247">
        <v>999999999</v>
      </c>
    </row>
    <row r="248" spans="1:3">
      <c r="A248" t="str">
        <f t="shared" si="4"/>
        <v>Firth of Forth</v>
      </c>
      <c r="B248">
        <f t="shared" si="5"/>
        <v>5</v>
      </c>
      <c r="C248">
        <v>999999999</v>
      </c>
    </row>
    <row r="249" spans="1:3">
      <c r="A249" t="str">
        <f t="shared" ref="A249:A312" si="6">A197</f>
        <v>Dogger Bank</v>
      </c>
      <c r="B249">
        <f t="shared" ref="B249:B312" si="7">B197+1</f>
        <v>5</v>
      </c>
      <c r="C249">
        <v>999999999</v>
      </c>
    </row>
    <row r="250" spans="1:3">
      <c r="A250" t="str">
        <f t="shared" si="6"/>
        <v>Hornsea</v>
      </c>
      <c r="B250">
        <f t="shared" si="7"/>
        <v>5</v>
      </c>
      <c r="C250">
        <v>999999999</v>
      </c>
    </row>
    <row r="251" spans="1:3">
      <c r="A251" t="str">
        <f t="shared" si="6"/>
        <v>Outer Dowsing</v>
      </c>
      <c r="B251">
        <f t="shared" si="7"/>
        <v>5</v>
      </c>
      <c r="C251">
        <v>999999999</v>
      </c>
    </row>
    <row r="252" spans="1:3">
      <c r="A252" t="str">
        <f t="shared" si="6"/>
        <v>Norfolk</v>
      </c>
      <c r="B252">
        <f t="shared" si="7"/>
        <v>5</v>
      </c>
      <c r="C252">
        <v>999999999</v>
      </c>
    </row>
    <row r="253" spans="1:3">
      <c r="A253" t="str">
        <f t="shared" si="6"/>
        <v>East Anglia</v>
      </c>
      <c r="B253">
        <f t="shared" si="7"/>
        <v>5</v>
      </c>
      <c r="C253">
        <v>999999999</v>
      </c>
    </row>
    <row r="254" spans="1:3">
      <c r="A254" t="str">
        <f t="shared" si="6"/>
        <v>Borssele</v>
      </c>
      <c r="B254">
        <f t="shared" si="7"/>
        <v>5</v>
      </c>
      <c r="C254">
        <v>999999999</v>
      </c>
    </row>
    <row r="255" spans="1:3">
      <c r="A255" t="str">
        <f t="shared" si="6"/>
        <v>Hollandsee Kust</v>
      </c>
      <c r="B255">
        <f t="shared" si="7"/>
        <v>5</v>
      </c>
      <c r="C255">
        <v>999999999</v>
      </c>
    </row>
    <row r="256" spans="1:3">
      <c r="A256" t="str">
        <f t="shared" si="6"/>
        <v>Helgoländer Bucht</v>
      </c>
      <c r="B256">
        <f t="shared" si="7"/>
        <v>5</v>
      </c>
      <c r="C256">
        <v>999999999</v>
      </c>
    </row>
    <row r="257" spans="1:3">
      <c r="A257" t="str">
        <f t="shared" si="6"/>
        <v>Nordsøen</v>
      </c>
      <c r="B257">
        <f t="shared" si="7"/>
        <v>5</v>
      </c>
      <c r="C257">
        <v>999999999</v>
      </c>
    </row>
    <row r="258" spans="1:3">
      <c r="A258" t="str">
        <f t="shared" si="6"/>
        <v>Utsira Nord</v>
      </c>
      <c r="B258">
        <f t="shared" si="7"/>
        <v>5</v>
      </c>
      <c r="C258">
        <v>999999999</v>
      </c>
    </row>
    <row r="259" spans="1:3">
      <c r="A259" t="str">
        <f t="shared" si="6"/>
        <v>Sørlige Nordsjø I</v>
      </c>
      <c r="B259">
        <f t="shared" si="7"/>
        <v>5</v>
      </c>
      <c r="C259">
        <v>999999999</v>
      </c>
    </row>
    <row r="260" spans="1:3">
      <c r="A260" t="str">
        <f t="shared" si="6"/>
        <v>Sørlige Nordsjø II</v>
      </c>
      <c r="B260">
        <f t="shared" si="7"/>
        <v>5</v>
      </c>
      <c r="C260">
        <v>999999999</v>
      </c>
    </row>
    <row r="261" spans="1:3">
      <c r="A261" t="str">
        <f t="shared" si="6"/>
        <v>Energyhub EU</v>
      </c>
      <c r="B261">
        <f t="shared" si="7"/>
        <v>5</v>
      </c>
      <c r="C261">
        <v>999999999</v>
      </c>
    </row>
    <row r="262" spans="1:3">
      <c r="A262" t="str">
        <f t="shared" si="6"/>
        <v>Sleipner</v>
      </c>
      <c r="B262">
        <f t="shared" si="7"/>
        <v>5</v>
      </c>
      <c r="C262">
        <v>999999999</v>
      </c>
    </row>
    <row r="263" spans="1:3">
      <c r="A263" t="str">
        <f t="shared" si="6"/>
        <v>Draupner</v>
      </c>
      <c r="B263">
        <f t="shared" si="7"/>
        <v>5</v>
      </c>
      <c r="C263">
        <v>999999999</v>
      </c>
    </row>
    <row r="264" spans="1:3">
      <c r="A264" t="str">
        <f t="shared" si="6"/>
        <v>Austria</v>
      </c>
      <c r="B264">
        <f t="shared" si="7"/>
        <v>6</v>
      </c>
      <c r="C264">
        <v>999999999</v>
      </c>
    </row>
    <row r="265" spans="1:3">
      <c r="A265" t="str">
        <f t="shared" si="6"/>
        <v>Bosnia H</v>
      </c>
      <c r="B265">
        <f t="shared" si="7"/>
        <v>6</v>
      </c>
      <c r="C265">
        <v>999999999</v>
      </c>
    </row>
    <row r="266" spans="1:3">
      <c r="A266" t="str">
        <f t="shared" si="6"/>
        <v>Belgium</v>
      </c>
      <c r="B266">
        <f t="shared" si="7"/>
        <v>6</v>
      </c>
      <c r="C266">
        <v>999999999</v>
      </c>
    </row>
    <row r="267" spans="1:3">
      <c r="A267" t="str">
        <f t="shared" si="6"/>
        <v>Bulgaria</v>
      </c>
      <c r="B267">
        <f t="shared" si="7"/>
        <v>6</v>
      </c>
      <c r="C267">
        <v>999999999</v>
      </c>
    </row>
    <row r="268" spans="1:3">
      <c r="A268" t="str">
        <f t="shared" si="6"/>
        <v>Switzerland</v>
      </c>
      <c r="B268">
        <f t="shared" si="7"/>
        <v>6</v>
      </c>
      <c r="C268">
        <v>999999999</v>
      </c>
    </row>
    <row r="269" spans="1:3">
      <c r="A269" t="str">
        <f t="shared" si="6"/>
        <v>Czech R</v>
      </c>
      <c r="B269">
        <f t="shared" si="7"/>
        <v>6</v>
      </c>
      <c r="C269">
        <v>999999999</v>
      </c>
    </row>
    <row r="270" spans="1:3">
      <c r="A270" t="str">
        <f t="shared" si="6"/>
        <v>Germany</v>
      </c>
      <c r="B270">
        <f t="shared" si="7"/>
        <v>6</v>
      </c>
      <c r="C270">
        <v>999999999</v>
      </c>
    </row>
    <row r="271" spans="1:3">
      <c r="A271" t="str">
        <f t="shared" si="6"/>
        <v>Denmark</v>
      </c>
      <c r="B271">
        <f t="shared" si="7"/>
        <v>6</v>
      </c>
      <c r="C271">
        <v>999999999</v>
      </c>
    </row>
    <row r="272" spans="1:3">
      <c r="A272" t="str">
        <f t="shared" si="6"/>
        <v>Estonia</v>
      </c>
      <c r="B272">
        <f t="shared" si="7"/>
        <v>6</v>
      </c>
      <c r="C272">
        <v>999999999</v>
      </c>
    </row>
    <row r="273" spans="1:3">
      <c r="A273" t="str">
        <f t="shared" si="6"/>
        <v>Spain</v>
      </c>
      <c r="B273">
        <f t="shared" si="7"/>
        <v>6</v>
      </c>
      <c r="C273">
        <v>999999999</v>
      </c>
    </row>
    <row r="274" spans="1:3">
      <c r="A274" t="str">
        <f t="shared" si="6"/>
        <v>Finland</v>
      </c>
      <c r="B274">
        <f t="shared" si="7"/>
        <v>6</v>
      </c>
      <c r="C274">
        <v>999999999</v>
      </c>
    </row>
    <row r="275" spans="1:3">
      <c r="A275" t="str">
        <f t="shared" si="6"/>
        <v>France</v>
      </c>
      <c r="B275">
        <f t="shared" si="7"/>
        <v>6</v>
      </c>
      <c r="C275">
        <v>999999999</v>
      </c>
    </row>
    <row r="276" spans="1:3">
      <c r="A276" t="str">
        <f t="shared" si="6"/>
        <v>Great Brit.</v>
      </c>
      <c r="B276">
        <f t="shared" si="7"/>
        <v>6</v>
      </c>
      <c r="C276">
        <v>999999999</v>
      </c>
    </row>
    <row r="277" spans="1:3">
      <c r="A277" t="str">
        <f t="shared" si="6"/>
        <v>Greece</v>
      </c>
      <c r="B277">
        <f t="shared" si="7"/>
        <v>6</v>
      </c>
      <c r="C277">
        <v>999999999</v>
      </c>
    </row>
    <row r="278" spans="1:3">
      <c r="A278" t="str">
        <f t="shared" si="6"/>
        <v>Croatia</v>
      </c>
      <c r="B278">
        <f t="shared" si="7"/>
        <v>6</v>
      </c>
      <c r="C278">
        <v>999999999</v>
      </c>
    </row>
    <row r="279" spans="1:3">
      <c r="A279" t="str">
        <f t="shared" si="6"/>
        <v>Hungary</v>
      </c>
      <c r="B279">
        <f t="shared" si="7"/>
        <v>6</v>
      </c>
      <c r="C279">
        <v>999999999</v>
      </c>
    </row>
    <row r="280" spans="1:3">
      <c r="A280" t="str">
        <f t="shared" si="6"/>
        <v>Ireland</v>
      </c>
      <c r="B280">
        <f t="shared" si="7"/>
        <v>6</v>
      </c>
      <c r="C280">
        <v>999999999</v>
      </c>
    </row>
    <row r="281" spans="1:3">
      <c r="A281" t="str">
        <f t="shared" si="6"/>
        <v>Italy</v>
      </c>
      <c r="B281">
        <f t="shared" si="7"/>
        <v>6</v>
      </c>
      <c r="C281">
        <v>999999999</v>
      </c>
    </row>
    <row r="282" spans="1:3">
      <c r="A282" t="str">
        <f t="shared" si="6"/>
        <v>Lithuania</v>
      </c>
      <c r="B282">
        <f t="shared" si="7"/>
        <v>6</v>
      </c>
      <c r="C282">
        <v>999999999</v>
      </c>
    </row>
    <row r="283" spans="1:3">
      <c r="A283" t="str">
        <f t="shared" si="6"/>
        <v>Luxemb.</v>
      </c>
      <c r="B283">
        <f t="shared" si="7"/>
        <v>6</v>
      </c>
      <c r="C283">
        <v>999999999</v>
      </c>
    </row>
    <row r="284" spans="1:3">
      <c r="A284" t="str">
        <f t="shared" si="6"/>
        <v>Latvia</v>
      </c>
      <c r="B284">
        <f t="shared" si="7"/>
        <v>6</v>
      </c>
      <c r="C284">
        <v>999999999</v>
      </c>
    </row>
    <row r="285" spans="1:3">
      <c r="A285" t="str">
        <f t="shared" si="6"/>
        <v>Macedonia</v>
      </c>
      <c r="B285">
        <f t="shared" si="7"/>
        <v>6</v>
      </c>
      <c r="C285">
        <v>999999999</v>
      </c>
    </row>
    <row r="286" spans="1:3">
      <c r="A286" t="str">
        <f t="shared" si="6"/>
        <v>Netherlands</v>
      </c>
      <c r="B286">
        <f t="shared" si="7"/>
        <v>6</v>
      </c>
      <c r="C286">
        <v>999999999</v>
      </c>
    </row>
    <row r="287" spans="1:3">
      <c r="A287" t="str">
        <f t="shared" si="6"/>
        <v>NO1</v>
      </c>
      <c r="B287">
        <f t="shared" si="7"/>
        <v>6</v>
      </c>
      <c r="C287">
        <v>999999999</v>
      </c>
    </row>
    <row r="288" spans="1:3">
      <c r="A288" t="str">
        <f t="shared" si="6"/>
        <v>NO2</v>
      </c>
      <c r="B288">
        <f t="shared" si="7"/>
        <v>6</v>
      </c>
      <c r="C288">
        <v>999999999</v>
      </c>
    </row>
    <row r="289" spans="1:3">
      <c r="A289" t="str">
        <f t="shared" si="6"/>
        <v>NO3</v>
      </c>
      <c r="B289">
        <f t="shared" si="7"/>
        <v>6</v>
      </c>
      <c r="C289">
        <v>999999999</v>
      </c>
    </row>
    <row r="290" spans="1:3">
      <c r="A290" t="str">
        <f t="shared" si="6"/>
        <v>NO4</v>
      </c>
      <c r="B290">
        <f t="shared" si="7"/>
        <v>6</v>
      </c>
      <c r="C290">
        <v>999999999</v>
      </c>
    </row>
    <row r="291" spans="1:3">
      <c r="A291" t="str">
        <f t="shared" si="6"/>
        <v>NO5</v>
      </c>
      <c r="B291">
        <f t="shared" si="7"/>
        <v>6</v>
      </c>
      <c r="C291">
        <v>999999999</v>
      </c>
    </row>
    <row r="292" spans="1:3">
      <c r="A292" t="str">
        <f t="shared" si="6"/>
        <v>Poland</v>
      </c>
      <c r="B292">
        <f t="shared" si="7"/>
        <v>6</v>
      </c>
      <c r="C292">
        <v>999999999</v>
      </c>
    </row>
    <row r="293" spans="1:3">
      <c r="A293" t="str">
        <f t="shared" si="6"/>
        <v>Portugal</v>
      </c>
      <c r="B293">
        <f t="shared" si="7"/>
        <v>6</v>
      </c>
      <c r="C293">
        <v>999999999</v>
      </c>
    </row>
    <row r="294" spans="1:3">
      <c r="A294" t="str">
        <f t="shared" si="6"/>
        <v>Romania</v>
      </c>
      <c r="B294">
        <f t="shared" si="7"/>
        <v>6</v>
      </c>
      <c r="C294">
        <v>999999999</v>
      </c>
    </row>
    <row r="295" spans="1:3">
      <c r="A295" t="str">
        <f t="shared" si="6"/>
        <v>Serbia</v>
      </c>
      <c r="B295">
        <f t="shared" si="7"/>
        <v>6</v>
      </c>
      <c r="C295">
        <v>999999999</v>
      </c>
    </row>
    <row r="296" spans="1:3">
      <c r="A296" t="str">
        <f t="shared" si="6"/>
        <v>Sweden</v>
      </c>
      <c r="B296">
        <f t="shared" si="7"/>
        <v>6</v>
      </c>
      <c r="C296">
        <v>999999999</v>
      </c>
    </row>
    <row r="297" spans="1:3">
      <c r="A297" t="str">
        <f t="shared" si="6"/>
        <v>Slovenia</v>
      </c>
      <c r="B297">
        <f t="shared" si="7"/>
        <v>6</v>
      </c>
      <c r="C297">
        <v>999999999</v>
      </c>
    </row>
    <row r="298" spans="1:3">
      <c r="A298" t="str">
        <f t="shared" si="6"/>
        <v>Slovakia</v>
      </c>
      <c r="B298">
        <f t="shared" si="7"/>
        <v>6</v>
      </c>
      <c r="C298">
        <v>999999999</v>
      </c>
    </row>
    <row r="299" spans="1:3">
      <c r="A299" t="str">
        <f t="shared" si="6"/>
        <v>Moray Firth</v>
      </c>
      <c r="B299">
        <f t="shared" si="7"/>
        <v>6</v>
      </c>
      <c r="C299">
        <v>999999999</v>
      </c>
    </row>
    <row r="300" spans="1:3">
      <c r="A300" t="str">
        <f t="shared" si="6"/>
        <v>Firth of Forth</v>
      </c>
      <c r="B300">
        <f t="shared" si="7"/>
        <v>6</v>
      </c>
      <c r="C300">
        <v>999999999</v>
      </c>
    </row>
    <row r="301" spans="1:3">
      <c r="A301" t="str">
        <f t="shared" si="6"/>
        <v>Dogger Bank</v>
      </c>
      <c r="B301">
        <f t="shared" si="7"/>
        <v>6</v>
      </c>
      <c r="C301">
        <v>999999999</v>
      </c>
    </row>
    <row r="302" spans="1:3">
      <c r="A302" t="str">
        <f t="shared" si="6"/>
        <v>Hornsea</v>
      </c>
      <c r="B302">
        <f t="shared" si="7"/>
        <v>6</v>
      </c>
      <c r="C302">
        <v>999999999</v>
      </c>
    </row>
    <row r="303" spans="1:3">
      <c r="A303" t="str">
        <f t="shared" si="6"/>
        <v>Outer Dowsing</v>
      </c>
      <c r="B303">
        <f t="shared" si="7"/>
        <v>6</v>
      </c>
      <c r="C303">
        <v>999999999</v>
      </c>
    </row>
    <row r="304" spans="1:3">
      <c r="A304" t="str">
        <f t="shared" si="6"/>
        <v>Norfolk</v>
      </c>
      <c r="B304">
        <f t="shared" si="7"/>
        <v>6</v>
      </c>
      <c r="C304">
        <v>999999999</v>
      </c>
    </row>
    <row r="305" spans="1:3">
      <c r="A305" t="str">
        <f t="shared" si="6"/>
        <v>East Anglia</v>
      </c>
      <c r="B305">
        <f t="shared" si="7"/>
        <v>6</v>
      </c>
      <c r="C305">
        <v>999999999</v>
      </c>
    </row>
    <row r="306" spans="1:3">
      <c r="A306" t="str">
        <f t="shared" si="6"/>
        <v>Borssele</v>
      </c>
      <c r="B306">
        <f t="shared" si="7"/>
        <v>6</v>
      </c>
      <c r="C306">
        <v>999999999</v>
      </c>
    </row>
    <row r="307" spans="1:3">
      <c r="A307" t="str">
        <f t="shared" si="6"/>
        <v>Hollandsee Kust</v>
      </c>
      <c r="B307">
        <f t="shared" si="7"/>
        <v>6</v>
      </c>
      <c r="C307">
        <v>999999999</v>
      </c>
    </row>
    <row r="308" spans="1:3">
      <c r="A308" t="str">
        <f t="shared" si="6"/>
        <v>Helgoländer Bucht</v>
      </c>
      <c r="B308">
        <f t="shared" si="7"/>
        <v>6</v>
      </c>
      <c r="C308">
        <v>999999999</v>
      </c>
    </row>
    <row r="309" spans="1:3">
      <c r="A309" t="str">
        <f t="shared" si="6"/>
        <v>Nordsøen</v>
      </c>
      <c r="B309">
        <f t="shared" si="7"/>
        <v>6</v>
      </c>
      <c r="C309">
        <v>999999999</v>
      </c>
    </row>
    <row r="310" spans="1:3">
      <c r="A310" t="str">
        <f t="shared" si="6"/>
        <v>Utsira Nord</v>
      </c>
      <c r="B310">
        <f t="shared" si="7"/>
        <v>6</v>
      </c>
      <c r="C310">
        <v>999999999</v>
      </c>
    </row>
    <row r="311" spans="1:3">
      <c r="A311" t="str">
        <f t="shared" si="6"/>
        <v>Sørlige Nordsjø I</v>
      </c>
      <c r="B311">
        <f t="shared" si="7"/>
        <v>6</v>
      </c>
      <c r="C311">
        <v>999999999</v>
      </c>
    </row>
    <row r="312" spans="1:3">
      <c r="A312" t="str">
        <f t="shared" si="6"/>
        <v>Sørlige Nordsjø II</v>
      </c>
      <c r="B312">
        <f t="shared" si="7"/>
        <v>6</v>
      </c>
      <c r="C312">
        <v>999999999</v>
      </c>
    </row>
    <row r="313" spans="1:3">
      <c r="A313" t="str">
        <f t="shared" ref="A313:A367" si="8">A261</f>
        <v>Energyhub EU</v>
      </c>
      <c r="B313">
        <f t="shared" ref="B313:B367" si="9">B261+1</f>
        <v>6</v>
      </c>
      <c r="C313">
        <v>999999999</v>
      </c>
    </row>
    <row r="314" spans="1:3">
      <c r="A314" t="str">
        <f t="shared" si="8"/>
        <v>Sleipner</v>
      </c>
      <c r="B314">
        <f t="shared" si="9"/>
        <v>6</v>
      </c>
      <c r="C314">
        <v>999999999</v>
      </c>
    </row>
    <row r="315" spans="1:3">
      <c r="A315" t="str">
        <f t="shared" si="8"/>
        <v>Draupner</v>
      </c>
      <c r="B315">
        <f t="shared" si="9"/>
        <v>6</v>
      </c>
      <c r="C315">
        <v>999999999</v>
      </c>
    </row>
    <row r="316" spans="1:3">
      <c r="A316" t="str">
        <f t="shared" si="8"/>
        <v>Austria</v>
      </c>
      <c r="B316">
        <f t="shared" si="9"/>
        <v>7</v>
      </c>
      <c r="C316">
        <v>999999999</v>
      </c>
    </row>
    <row r="317" spans="1:3">
      <c r="A317" t="str">
        <f t="shared" si="8"/>
        <v>Bosnia H</v>
      </c>
      <c r="B317">
        <f t="shared" si="9"/>
        <v>7</v>
      </c>
      <c r="C317">
        <v>999999999</v>
      </c>
    </row>
    <row r="318" spans="1:3">
      <c r="A318" t="str">
        <f t="shared" si="8"/>
        <v>Belgium</v>
      </c>
      <c r="B318">
        <f t="shared" si="9"/>
        <v>7</v>
      </c>
      <c r="C318">
        <v>999999999</v>
      </c>
    </row>
    <row r="319" spans="1:3">
      <c r="A319" t="str">
        <f t="shared" si="8"/>
        <v>Bulgaria</v>
      </c>
      <c r="B319">
        <f t="shared" si="9"/>
        <v>7</v>
      </c>
      <c r="C319">
        <v>999999999</v>
      </c>
    </row>
    <row r="320" spans="1:3">
      <c r="A320" t="str">
        <f t="shared" si="8"/>
        <v>Switzerland</v>
      </c>
      <c r="B320">
        <f t="shared" si="9"/>
        <v>7</v>
      </c>
      <c r="C320">
        <v>999999999</v>
      </c>
    </row>
    <row r="321" spans="1:3">
      <c r="A321" t="str">
        <f t="shared" si="8"/>
        <v>Czech R</v>
      </c>
      <c r="B321">
        <f t="shared" si="9"/>
        <v>7</v>
      </c>
      <c r="C321">
        <v>999999999</v>
      </c>
    </row>
    <row r="322" spans="1:3">
      <c r="A322" t="str">
        <f t="shared" si="8"/>
        <v>Germany</v>
      </c>
      <c r="B322">
        <f t="shared" si="9"/>
        <v>7</v>
      </c>
      <c r="C322">
        <v>999999999</v>
      </c>
    </row>
    <row r="323" spans="1:3">
      <c r="A323" t="str">
        <f t="shared" si="8"/>
        <v>Denmark</v>
      </c>
      <c r="B323">
        <f t="shared" si="9"/>
        <v>7</v>
      </c>
      <c r="C323">
        <v>999999999</v>
      </c>
    </row>
    <row r="324" spans="1:3">
      <c r="A324" t="str">
        <f t="shared" si="8"/>
        <v>Estonia</v>
      </c>
      <c r="B324">
        <f t="shared" si="9"/>
        <v>7</v>
      </c>
      <c r="C324">
        <v>999999999</v>
      </c>
    </row>
    <row r="325" spans="1:3">
      <c r="A325" t="str">
        <f t="shared" si="8"/>
        <v>Spain</v>
      </c>
      <c r="B325">
        <f t="shared" si="9"/>
        <v>7</v>
      </c>
      <c r="C325">
        <v>999999999</v>
      </c>
    </row>
    <row r="326" spans="1:3">
      <c r="A326" t="str">
        <f t="shared" si="8"/>
        <v>Finland</v>
      </c>
      <c r="B326">
        <f t="shared" si="9"/>
        <v>7</v>
      </c>
      <c r="C326">
        <v>999999999</v>
      </c>
    </row>
    <row r="327" spans="1:3">
      <c r="A327" t="str">
        <f t="shared" si="8"/>
        <v>France</v>
      </c>
      <c r="B327">
        <f t="shared" si="9"/>
        <v>7</v>
      </c>
      <c r="C327">
        <v>999999999</v>
      </c>
    </row>
    <row r="328" spans="1:3">
      <c r="A328" t="str">
        <f t="shared" si="8"/>
        <v>Great Brit.</v>
      </c>
      <c r="B328">
        <f t="shared" si="9"/>
        <v>7</v>
      </c>
      <c r="C328">
        <v>999999999</v>
      </c>
    </row>
    <row r="329" spans="1:3">
      <c r="A329" t="str">
        <f t="shared" si="8"/>
        <v>Greece</v>
      </c>
      <c r="B329">
        <f t="shared" si="9"/>
        <v>7</v>
      </c>
      <c r="C329">
        <v>999999999</v>
      </c>
    </row>
    <row r="330" spans="1:3">
      <c r="A330" t="str">
        <f t="shared" si="8"/>
        <v>Croatia</v>
      </c>
      <c r="B330">
        <f t="shared" si="9"/>
        <v>7</v>
      </c>
      <c r="C330">
        <v>999999999</v>
      </c>
    </row>
    <row r="331" spans="1:3">
      <c r="A331" t="str">
        <f t="shared" si="8"/>
        <v>Hungary</v>
      </c>
      <c r="B331">
        <f t="shared" si="9"/>
        <v>7</v>
      </c>
      <c r="C331">
        <v>999999999</v>
      </c>
    </row>
    <row r="332" spans="1:3">
      <c r="A332" t="str">
        <f t="shared" si="8"/>
        <v>Ireland</v>
      </c>
      <c r="B332">
        <f t="shared" si="9"/>
        <v>7</v>
      </c>
      <c r="C332">
        <v>999999999</v>
      </c>
    </row>
    <row r="333" spans="1:3">
      <c r="A333" t="str">
        <f t="shared" si="8"/>
        <v>Italy</v>
      </c>
      <c r="B333">
        <f t="shared" si="9"/>
        <v>7</v>
      </c>
      <c r="C333">
        <v>999999999</v>
      </c>
    </row>
    <row r="334" spans="1:3">
      <c r="A334" t="str">
        <f t="shared" si="8"/>
        <v>Lithuania</v>
      </c>
      <c r="B334">
        <f t="shared" si="9"/>
        <v>7</v>
      </c>
      <c r="C334">
        <v>999999999</v>
      </c>
    </row>
    <row r="335" spans="1:3">
      <c r="A335" t="str">
        <f t="shared" si="8"/>
        <v>Luxemb.</v>
      </c>
      <c r="B335">
        <f t="shared" si="9"/>
        <v>7</v>
      </c>
      <c r="C335">
        <v>999999999</v>
      </c>
    </row>
    <row r="336" spans="1:3">
      <c r="A336" t="str">
        <f t="shared" si="8"/>
        <v>Latvia</v>
      </c>
      <c r="B336">
        <f t="shared" si="9"/>
        <v>7</v>
      </c>
      <c r="C336">
        <v>999999999</v>
      </c>
    </row>
    <row r="337" spans="1:3">
      <c r="A337" t="str">
        <f t="shared" si="8"/>
        <v>Macedonia</v>
      </c>
      <c r="B337">
        <f t="shared" si="9"/>
        <v>7</v>
      </c>
      <c r="C337">
        <v>999999999</v>
      </c>
    </row>
    <row r="338" spans="1:3">
      <c r="A338" t="str">
        <f t="shared" si="8"/>
        <v>Netherlands</v>
      </c>
      <c r="B338">
        <f t="shared" si="9"/>
        <v>7</v>
      </c>
      <c r="C338">
        <v>999999999</v>
      </c>
    </row>
    <row r="339" spans="1:3">
      <c r="A339" t="str">
        <f t="shared" si="8"/>
        <v>NO1</v>
      </c>
      <c r="B339">
        <f t="shared" si="9"/>
        <v>7</v>
      </c>
      <c r="C339">
        <v>999999999</v>
      </c>
    </row>
    <row r="340" spans="1:3">
      <c r="A340" t="str">
        <f t="shared" si="8"/>
        <v>NO2</v>
      </c>
      <c r="B340">
        <f t="shared" si="9"/>
        <v>7</v>
      </c>
      <c r="C340">
        <v>999999999</v>
      </c>
    </row>
    <row r="341" spans="1:3">
      <c r="A341" t="str">
        <f t="shared" si="8"/>
        <v>NO3</v>
      </c>
      <c r="B341">
        <f t="shared" si="9"/>
        <v>7</v>
      </c>
      <c r="C341">
        <v>999999999</v>
      </c>
    </row>
    <row r="342" spans="1:3">
      <c r="A342" t="str">
        <f t="shared" si="8"/>
        <v>NO4</v>
      </c>
      <c r="B342">
        <f t="shared" si="9"/>
        <v>7</v>
      </c>
      <c r="C342">
        <v>999999999</v>
      </c>
    </row>
    <row r="343" spans="1:3">
      <c r="A343" t="str">
        <f t="shared" si="8"/>
        <v>NO5</v>
      </c>
      <c r="B343">
        <f t="shared" si="9"/>
        <v>7</v>
      </c>
      <c r="C343">
        <v>999999999</v>
      </c>
    </row>
    <row r="344" spans="1:3">
      <c r="A344" t="str">
        <f t="shared" si="8"/>
        <v>Poland</v>
      </c>
      <c r="B344">
        <f t="shared" si="9"/>
        <v>7</v>
      </c>
      <c r="C344">
        <v>999999999</v>
      </c>
    </row>
    <row r="345" spans="1:3">
      <c r="A345" t="str">
        <f t="shared" si="8"/>
        <v>Portugal</v>
      </c>
      <c r="B345">
        <f t="shared" si="9"/>
        <v>7</v>
      </c>
      <c r="C345">
        <v>999999999</v>
      </c>
    </row>
    <row r="346" spans="1:3">
      <c r="A346" t="str">
        <f t="shared" si="8"/>
        <v>Romania</v>
      </c>
      <c r="B346">
        <f t="shared" si="9"/>
        <v>7</v>
      </c>
      <c r="C346">
        <v>999999999</v>
      </c>
    </row>
    <row r="347" spans="1:3">
      <c r="A347" t="str">
        <f t="shared" si="8"/>
        <v>Serbia</v>
      </c>
      <c r="B347">
        <f t="shared" si="9"/>
        <v>7</v>
      </c>
      <c r="C347">
        <v>999999999</v>
      </c>
    </row>
    <row r="348" spans="1:3">
      <c r="A348" t="str">
        <f t="shared" si="8"/>
        <v>Sweden</v>
      </c>
      <c r="B348">
        <f t="shared" si="9"/>
        <v>7</v>
      </c>
      <c r="C348">
        <v>999999999</v>
      </c>
    </row>
    <row r="349" spans="1:3">
      <c r="A349" t="str">
        <f t="shared" si="8"/>
        <v>Slovenia</v>
      </c>
      <c r="B349">
        <f t="shared" si="9"/>
        <v>7</v>
      </c>
      <c r="C349">
        <v>999999999</v>
      </c>
    </row>
    <row r="350" spans="1:3">
      <c r="A350" t="str">
        <f t="shared" si="8"/>
        <v>Slovakia</v>
      </c>
      <c r="B350">
        <f t="shared" si="9"/>
        <v>7</v>
      </c>
      <c r="C350">
        <v>999999999</v>
      </c>
    </row>
    <row r="351" spans="1:3">
      <c r="A351" t="str">
        <f t="shared" si="8"/>
        <v>Moray Firth</v>
      </c>
      <c r="B351">
        <f t="shared" si="9"/>
        <v>7</v>
      </c>
      <c r="C351">
        <v>999999999</v>
      </c>
    </row>
    <row r="352" spans="1:3">
      <c r="A352" t="str">
        <f t="shared" si="8"/>
        <v>Firth of Forth</v>
      </c>
      <c r="B352">
        <f t="shared" si="9"/>
        <v>7</v>
      </c>
      <c r="C352">
        <v>999999999</v>
      </c>
    </row>
    <row r="353" spans="1:3">
      <c r="A353" t="str">
        <f t="shared" si="8"/>
        <v>Dogger Bank</v>
      </c>
      <c r="B353">
        <f t="shared" si="9"/>
        <v>7</v>
      </c>
      <c r="C353">
        <v>999999999</v>
      </c>
    </row>
    <row r="354" spans="1:3">
      <c r="A354" t="str">
        <f t="shared" si="8"/>
        <v>Hornsea</v>
      </c>
      <c r="B354">
        <f t="shared" si="9"/>
        <v>7</v>
      </c>
      <c r="C354">
        <v>999999999</v>
      </c>
    </row>
    <row r="355" spans="1:3">
      <c r="A355" t="str">
        <f t="shared" si="8"/>
        <v>Outer Dowsing</v>
      </c>
      <c r="B355">
        <f t="shared" si="9"/>
        <v>7</v>
      </c>
      <c r="C355">
        <v>999999999</v>
      </c>
    </row>
    <row r="356" spans="1:3">
      <c r="A356" t="str">
        <f t="shared" si="8"/>
        <v>Norfolk</v>
      </c>
      <c r="B356">
        <f t="shared" si="9"/>
        <v>7</v>
      </c>
      <c r="C356">
        <v>999999999</v>
      </c>
    </row>
    <row r="357" spans="1:3">
      <c r="A357" t="str">
        <f t="shared" si="8"/>
        <v>East Anglia</v>
      </c>
      <c r="B357">
        <f t="shared" si="9"/>
        <v>7</v>
      </c>
      <c r="C357">
        <v>999999999</v>
      </c>
    </row>
    <row r="358" spans="1:3">
      <c r="A358" t="str">
        <f t="shared" si="8"/>
        <v>Borssele</v>
      </c>
      <c r="B358">
        <f t="shared" si="9"/>
        <v>7</v>
      </c>
      <c r="C358">
        <v>999999999</v>
      </c>
    </row>
    <row r="359" spans="1:3">
      <c r="A359" t="str">
        <f t="shared" si="8"/>
        <v>Hollandsee Kust</v>
      </c>
      <c r="B359">
        <f t="shared" si="9"/>
        <v>7</v>
      </c>
      <c r="C359">
        <v>999999999</v>
      </c>
    </row>
    <row r="360" spans="1:3">
      <c r="A360" t="str">
        <f t="shared" si="8"/>
        <v>Helgoländer Bucht</v>
      </c>
      <c r="B360">
        <f t="shared" si="9"/>
        <v>7</v>
      </c>
      <c r="C360">
        <v>999999999</v>
      </c>
    </row>
    <row r="361" spans="1:3">
      <c r="A361" t="str">
        <f t="shared" si="8"/>
        <v>Nordsøen</v>
      </c>
      <c r="B361">
        <f t="shared" si="9"/>
        <v>7</v>
      </c>
      <c r="C361">
        <v>999999999</v>
      </c>
    </row>
    <row r="362" spans="1:3">
      <c r="A362" t="str">
        <f t="shared" si="8"/>
        <v>Utsira Nord</v>
      </c>
      <c r="B362">
        <f t="shared" si="9"/>
        <v>7</v>
      </c>
      <c r="C362">
        <v>999999999</v>
      </c>
    </row>
    <row r="363" spans="1:3">
      <c r="A363" t="str">
        <f t="shared" si="8"/>
        <v>Sørlige Nordsjø I</v>
      </c>
      <c r="B363">
        <f t="shared" si="9"/>
        <v>7</v>
      </c>
      <c r="C363">
        <v>999999999</v>
      </c>
    </row>
    <row r="364" spans="1:3">
      <c r="A364" t="str">
        <f t="shared" si="8"/>
        <v>Sørlige Nordsjø II</v>
      </c>
      <c r="B364">
        <f t="shared" si="9"/>
        <v>7</v>
      </c>
      <c r="C364">
        <v>999999999</v>
      </c>
    </row>
    <row r="365" spans="1:3">
      <c r="A365" t="str">
        <f t="shared" si="8"/>
        <v>Energyhub EU</v>
      </c>
      <c r="B365">
        <f t="shared" si="9"/>
        <v>7</v>
      </c>
      <c r="C365">
        <v>999999999</v>
      </c>
    </row>
    <row r="366" spans="1:3">
      <c r="A366" t="str">
        <f t="shared" si="8"/>
        <v>Sleipner</v>
      </c>
      <c r="B366">
        <f t="shared" si="9"/>
        <v>7</v>
      </c>
      <c r="C366">
        <v>999999999</v>
      </c>
    </row>
    <row r="367" spans="1:3">
      <c r="A367" t="str">
        <f t="shared" si="8"/>
        <v>Draupner</v>
      </c>
      <c r="B367">
        <f t="shared" si="9"/>
        <v>7</v>
      </c>
      <c r="C367">
        <v>999999999</v>
      </c>
    </row>
  </sheetData>
  <autoFilter ref="A3:C3" xr:uid="{00000000-0001-0000-02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09B3-9ADB-4868-8E80-A48A97AC1999}">
  <dimension ref="A1:B53"/>
  <sheetViews>
    <sheetView workbookViewId="0">
      <selection activeCell="B25" sqref="B25:B26"/>
    </sheetView>
  </sheetViews>
  <sheetFormatPr defaultColWidth="9.33203125" defaultRowHeight="14.4"/>
  <cols>
    <col min="1" max="1" width="15" customWidth="1"/>
    <col min="2" max="2" width="40.33203125" bestFit="1" customWidth="1"/>
  </cols>
  <sheetData>
    <row r="1" spans="1:2">
      <c r="A1" t="s">
        <v>44</v>
      </c>
    </row>
    <row r="2" spans="1:2">
      <c r="A2" t="s">
        <v>43</v>
      </c>
    </row>
    <row r="3" spans="1:2">
      <c r="A3" t="s">
        <v>0</v>
      </c>
      <c r="B3" t="s">
        <v>42</v>
      </c>
    </row>
    <row r="4" spans="1:2">
      <c r="A4" t="s">
        <v>3</v>
      </c>
      <c r="B4">
        <v>45475000</v>
      </c>
    </row>
    <row r="5" spans="1:2">
      <c r="A5" t="s">
        <v>4</v>
      </c>
      <c r="B5">
        <v>5694540</v>
      </c>
    </row>
    <row r="6" spans="1:2">
      <c r="A6" t="s">
        <v>5</v>
      </c>
      <c r="B6">
        <v>470800</v>
      </c>
    </row>
    <row r="7" spans="1:2">
      <c r="A7" t="s">
        <v>6</v>
      </c>
      <c r="B7">
        <v>3971840</v>
      </c>
    </row>
    <row r="8" spans="1:2">
      <c r="A8" t="s">
        <v>7</v>
      </c>
      <c r="B8">
        <v>40660000</v>
      </c>
    </row>
    <row r="9" spans="1:2">
      <c r="A9" t="s">
        <v>8</v>
      </c>
      <c r="B9">
        <v>2433180.0000000005</v>
      </c>
    </row>
    <row r="10" spans="1:2">
      <c r="A10" t="s">
        <v>1</v>
      </c>
      <c r="B10">
        <v>23540000</v>
      </c>
    </row>
    <row r="11" spans="1:2">
      <c r="A11" t="s">
        <v>2</v>
      </c>
      <c r="B11">
        <v>33170</v>
      </c>
    </row>
    <row r="12" spans="1:2">
      <c r="A12" t="s">
        <v>9</v>
      </c>
      <c r="B12">
        <v>32100</v>
      </c>
    </row>
    <row r="13" spans="1:2">
      <c r="A13" t="s">
        <v>10</v>
      </c>
      <c r="B13">
        <v>44940000</v>
      </c>
    </row>
    <row r="14" spans="1:2">
      <c r="A14" t="s">
        <v>11</v>
      </c>
      <c r="B14">
        <v>16050000.000000002</v>
      </c>
    </row>
    <row r="15" spans="1:2">
      <c r="A15" t="s">
        <v>12</v>
      </c>
      <c r="B15">
        <v>77040000</v>
      </c>
    </row>
    <row r="16" spans="1:2">
      <c r="A16" t="s">
        <v>13</v>
      </c>
      <c r="B16">
        <v>6955000</v>
      </c>
    </row>
    <row r="17" spans="1:2">
      <c r="A17" t="s">
        <v>14</v>
      </c>
      <c r="B17">
        <v>7490000</v>
      </c>
    </row>
    <row r="18" spans="1:2">
      <c r="A18" t="s">
        <v>15</v>
      </c>
      <c r="B18">
        <v>6303370.0000000009</v>
      </c>
    </row>
    <row r="19" spans="1:2">
      <c r="A19" t="s">
        <v>16</v>
      </c>
      <c r="B19">
        <v>267500</v>
      </c>
    </row>
    <row r="20" spans="1:2">
      <c r="A20" t="s">
        <v>17</v>
      </c>
      <c r="B20">
        <v>802500</v>
      </c>
    </row>
    <row r="21" spans="1:2">
      <c r="A21" t="s">
        <v>18</v>
      </c>
      <c r="B21">
        <v>44940000</v>
      </c>
    </row>
    <row r="22" spans="1:2">
      <c r="A22" t="s">
        <v>19</v>
      </c>
      <c r="B22">
        <v>513600</v>
      </c>
    </row>
    <row r="23" spans="1:2">
      <c r="A23" t="s">
        <v>20</v>
      </c>
      <c r="B23">
        <v>133750</v>
      </c>
    </row>
    <row r="24" spans="1:2">
      <c r="A24" t="s">
        <v>21</v>
      </c>
      <c r="B24">
        <v>3263500</v>
      </c>
    </row>
    <row r="25" spans="1:2">
      <c r="A25" t="s">
        <v>22</v>
      </c>
      <c r="B25">
        <v>1728050.0000000002</v>
      </c>
    </row>
    <row r="26" spans="1:2">
      <c r="A26" t="s">
        <v>23</v>
      </c>
      <c r="B26">
        <v>203300</v>
      </c>
    </row>
    <row r="27" spans="1:2">
      <c r="A27" t="s">
        <v>32</v>
      </c>
      <c r="B27">
        <v>19613100</v>
      </c>
    </row>
    <row r="28" spans="1:2">
      <c r="A28" t="s">
        <v>33</v>
      </c>
      <c r="B28">
        <v>49787100</v>
      </c>
    </row>
    <row r="29" spans="1:2">
      <c r="A29" t="s">
        <v>34</v>
      </c>
      <c r="B29">
        <v>22630500</v>
      </c>
    </row>
    <row r="30" spans="1:2">
      <c r="A30" t="s">
        <v>35</v>
      </c>
      <c r="B30">
        <v>27156600</v>
      </c>
    </row>
    <row r="31" spans="1:2">
      <c r="A31" t="s">
        <v>36</v>
      </c>
      <c r="B31">
        <v>31682700</v>
      </c>
    </row>
    <row r="32" spans="1:2">
      <c r="A32" t="s">
        <v>24</v>
      </c>
      <c r="B32">
        <v>3210000</v>
      </c>
    </row>
    <row r="33" spans="1:2">
      <c r="A33" t="s">
        <v>25</v>
      </c>
      <c r="B33">
        <v>16050000.000000002</v>
      </c>
    </row>
    <row r="34" spans="1:2">
      <c r="A34" t="s">
        <v>26</v>
      </c>
      <c r="B34">
        <v>21400000</v>
      </c>
    </row>
    <row r="35" spans="1:2">
      <c r="A35" t="s">
        <v>27</v>
      </c>
      <c r="B35">
        <v>13910000</v>
      </c>
    </row>
    <row r="36" spans="1:2">
      <c r="A36" t="s">
        <v>28</v>
      </c>
      <c r="B36">
        <v>73830000</v>
      </c>
    </row>
    <row r="37" spans="1:2">
      <c r="A37" t="s">
        <v>29</v>
      </c>
      <c r="B37">
        <v>5510500</v>
      </c>
    </row>
    <row r="38" spans="1:2">
      <c r="A38" t="s">
        <v>30</v>
      </c>
      <c r="B38">
        <v>5885000</v>
      </c>
    </row>
    <row r="39" spans="1:2">
      <c r="A39" t="s">
        <v>45</v>
      </c>
      <c r="B39">
        <v>0</v>
      </c>
    </row>
    <row r="40" spans="1:2">
      <c r="A40" t="s">
        <v>46</v>
      </c>
      <c r="B40">
        <v>0</v>
      </c>
    </row>
    <row r="41" spans="1:2">
      <c r="A41" t="s">
        <v>47</v>
      </c>
      <c r="B41">
        <v>0</v>
      </c>
    </row>
    <row r="42" spans="1:2">
      <c r="A42" t="s">
        <v>48</v>
      </c>
      <c r="B42">
        <v>0</v>
      </c>
    </row>
    <row r="43" spans="1:2">
      <c r="A43" t="s">
        <v>49</v>
      </c>
      <c r="B43">
        <v>0</v>
      </c>
    </row>
    <row r="44" spans="1:2">
      <c r="A44" t="s">
        <v>50</v>
      </c>
      <c r="B44">
        <v>0</v>
      </c>
    </row>
    <row r="45" spans="1:2">
      <c r="A45" t="s">
        <v>51</v>
      </c>
      <c r="B45">
        <v>0</v>
      </c>
    </row>
    <row r="46" spans="1:2">
      <c r="A46" t="s">
        <v>52</v>
      </c>
      <c r="B46">
        <v>0</v>
      </c>
    </row>
    <row r="47" spans="1:2">
      <c r="A47" t="s">
        <v>53</v>
      </c>
      <c r="B47">
        <v>0</v>
      </c>
    </row>
    <row r="48" spans="1:2">
      <c r="A48" t="s">
        <v>54</v>
      </c>
      <c r="B48">
        <v>0</v>
      </c>
    </row>
    <row r="49" spans="1:2">
      <c r="A49" t="s">
        <v>55</v>
      </c>
      <c r="B49">
        <v>0</v>
      </c>
    </row>
    <row r="50" spans="1:2">
      <c r="A50" t="s">
        <v>56</v>
      </c>
      <c r="B50">
        <v>0</v>
      </c>
    </row>
    <row r="51" spans="1:2">
      <c r="A51" t="s">
        <v>57</v>
      </c>
      <c r="B51">
        <v>0</v>
      </c>
    </row>
    <row r="52" spans="1:2">
      <c r="A52" t="s">
        <v>58</v>
      </c>
      <c r="B52">
        <v>0</v>
      </c>
    </row>
    <row r="53" spans="1:2">
      <c r="A53" t="s">
        <v>65</v>
      </c>
      <c r="B53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FC5F-2189-4EFD-B078-74B98CA72CAE}">
  <dimension ref="A1:D55"/>
  <sheetViews>
    <sheetView workbookViewId="0">
      <selection activeCell="B21" sqref="B21"/>
    </sheetView>
  </sheetViews>
  <sheetFormatPr defaultColWidth="10.88671875" defaultRowHeight="14.4"/>
  <sheetData>
    <row r="1" spans="1:4">
      <c r="A1" t="s">
        <v>62</v>
      </c>
    </row>
    <row r="2" spans="1:4">
      <c r="A2" t="s">
        <v>63</v>
      </c>
    </row>
    <row r="3" spans="1:4">
      <c r="A3" t="s">
        <v>61</v>
      </c>
      <c r="B3" t="s">
        <v>60</v>
      </c>
    </row>
    <row r="4" spans="1:4">
      <c r="A4" t="s">
        <v>3</v>
      </c>
      <c r="B4">
        <v>47.46</v>
      </c>
      <c r="D4" s="2"/>
    </row>
    <row r="5" spans="1:4">
      <c r="A5" t="s">
        <v>4</v>
      </c>
      <c r="B5">
        <v>44.06</v>
      </c>
    </row>
    <row r="6" spans="1:4">
      <c r="A6" t="s">
        <v>5</v>
      </c>
      <c r="B6">
        <v>50.72</v>
      </c>
    </row>
    <row r="7" spans="1:4">
      <c r="A7" t="s">
        <v>6</v>
      </c>
      <c r="B7">
        <v>42.71</v>
      </c>
    </row>
    <row r="8" spans="1:4">
      <c r="A8" t="s">
        <v>7</v>
      </c>
      <c r="B8">
        <v>46.82</v>
      </c>
    </row>
    <row r="9" spans="1:4">
      <c r="A9" t="s">
        <v>8</v>
      </c>
      <c r="B9">
        <v>49.87</v>
      </c>
    </row>
    <row r="10" spans="1:4">
      <c r="A10" t="s">
        <v>1</v>
      </c>
      <c r="B10">
        <v>51.04</v>
      </c>
    </row>
    <row r="11" spans="1:4">
      <c r="A11" t="s">
        <v>2</v>
      </c>
      <c r="B11">
        <v>56.17</v>
      </c>
    </row>
    <row r="12" spans="1:4">
      <c r="A12" t="s">
        <v>9</v>
      </c>
      <c r="B12">
        <v>58.79</v>
      </c>
    </row>
    <row r="13" spans="1:4">
      <c r="A13" t="s">
        <v>10</v>
      </c>
      <c r="B13">
        <v>40.31</v>
      </c>
    </row>
    <row r="14" spans="1:4">
      <c r="A14" t="s">
        <v>11</v>
      </c>
      <c r="B14">
        <v>63.9</v>
      </c>
    </row>
    <row r="15" spans="1:4">
      <c r="A15" t="s">
        <v>12</v>
      </c>
      <c r="B15">
        <v>46.74</v>
      </c>
    </row>
    <row r="16" spans="1:4">
      <c r="A16" t="s">
        <v>13</v>
      </c>
      <c r="B16">
        <v>52.67</v>
      </c>
    </row>
    <row r="17" spans="1:2">
      <c r="A17" t="s">
        <v>14</v>
      </c>
      <c r="B17">
        <v>39.130000000000003</v>
      </c>
    </row>
    <row r="18" spans="1:2">
      <c r="A18" t="s">
        <v>15</v>
      </c>
      <c r="B18">
        <v>45.58</v>
      </c>
    </row>
    <row r="19" spans="1:2">
      <c r="A19" t="s">
        <v>16</v>
      </c>
      <c r="B19">
        <v>46.99</v>
      </c>
    </row>
    <row r="20" spans="1:2">
      <c r="A20" t="s">
        <v>17</v>
      </c>
      <c r="B20">
        <v>53.09</v>
      </c>
    </row>
    <row r="21" spans="1:2">
      <c r="A21" t="s">
        <v>18</v>
      </c>
      <c r="B21">
        <v>44.4</v>
      </c>
    </row>
    <row r="22" spans="1:2">
      <c r="A22" t="s">
        <v>19</v>
      </c>
      <c r="B22">
        <v>55.3</v>
      </c>
    </row>
    <row r="23" spans="1:2">
      <c r="A23" t="s">
        <v>20</v>
      </c>
      <c r="B23">
        <v>49.75</v>
      </c>
    </row>
    <row r="24" spans="1:2">
      <c r="A24" t="s">
        <v>21</v>
      </c>
      <c r="B24">
        <v>56.85</v>
      </c>
    </row>
    <row r="25" spans="1:2">
      <c r="A25" t="s">
        <v>22</v>
      </c>
      <c r="B25">
        <v>41.57</v>
      </c>
    </row>
    <row r="26" spans="1:2">
      <c r="A26" t="s">
        <v>23</v>
      </c>
      <c r="B26">
        <v>52.14</v>
      </c>
    </row>
    <row r="27" spans="1:2">
      <c r="A27" t="s">
        <v>32</v>
      </c>
      <c r="B27">
        <v>60.11</v>
      </c>
    </row>
    <row r="28" spans="1:2">
      <c r="A28" t="s">
        <v>33</v>
      </c>
      <c r="B28">
        <v>59.04</v>
      </c>
    </row>
    <row r="29" spans="1:2">
      <c r="A29" t="s">
        <v>34</v>
      </c>
      <c r="B29">
        <v>63.09</v>
      </c>
    </row>
    <row r="30" spans="1:2">
      <c r="A30" t="s">
        <v>35</v>
      </c>
      <c r="B30">
        <v>68.27</v>
      </c>
    </row>
    <row r="31" spans="1:2">
      <c r="A31" t="s">
        <v>36</v>
      </c>
      <c r="B31">
        <v>60.68</v>
      </c>
    </row>
    <row r="32" spans="1:2">
      <c r="A32" t="s">
        <v>24</v>
      </c>
      <c r="B32">
        <v>52.16</v>
      </c>
    </row>
    <row r="33" spans="1:3">
      <c r="A33" t="s">
        <v>25</v>
      </c>
      <c r="B33">
        <v>39.74</v>
      </c>
    </row>
    <row r="34" spans="1:3">
      <c r="A34" t="s">
        <v>26</v>
      </c>
      <c r="B34">
        <v>46.01</v>
      </c>
    </row>
    <row r="35" spans="1:3">
      <c r="A35" t="s">
        <v>27</v>
      </c>
      <c r="B35">
        <v>44.25</v>
      </c>
    </row>
    <row r="36" spans="1:3">
      <c r="A36" t="s">
        <v>28</v>
      </c>
      <c r="B36">
        <v>62.67</v>
      </c>
    </row>
    <row r="37" spans="1:3">
      <c r="A37" t="s">
        <v>29</v>
      </c>
      <c r="B37">
        <v>46.07</v>
      </c>
    </row>
    <row r="38" spans="1:3">
      <c r="A38" t="s">
        <v>30</v>
      </c>
      <c r="B38">
        <v>48.68</v>
      </c>
    </row>
    <row r="39" spans="1:3">
      <c r="A39" t="s">
        <v>45</v>
      </c>
      <c r="B39" s="1">
        <v>58.170701999999999</v>
      </c>
      <c r="C39" s="1"/>
    </row>
    <row r="40" spans="1:3">
      <c r="A40" t="s">
        <v>46</v>
      </c>
      <c r="B40" s="1">
        <v>56.363728999999999</v>
      </c>
      <c r="C40" s="1"/>
    </row>
    <row r="41" spans="1:3">
      <c r="A41" t="s">
        <v>47</v>
      </c>
      <c r="B41" s="1">
        <v>54.833333000000003</v>
      </c>
      <c r="C41" s="1"/>
    </row>
    <row r="42" spans="1:3">
      <c r="A42" t="s">
        <v>48</v>
      </c>
      <c r="B42" s="1">
        <v>53.820112000000002</v>
      </c>
      <c r="C42" s="1"/>
    </row>
    <row r="43" spans="1:3">
      <c r="A43" t="s">
        <v>49</v>
      </c>
      <c r="B43" s="1">
        <v>53.311185999999999</v>
      </c>
      <c r="C43" s="1"/>
    </row>
    <row r="44" spans="1:3">
      <c r="A44" t="s">
        <v>50</v>
      </c>
      <c r="B44" s="1">
        <v>52.782831000000002</v>
      </c>
      <c r="C44" s="1"/>
    </row>
    <row r="45" spans="1:3">
      <c r="A45" t="s">
        <v>51</v>
      </c>
      <c r="B45" s="1">
        <v>51.890053999999999</v>
      </c>
      <c r="C45" s="1"/>
    </row>
    <row r="46" spans="1:3">
      <c r="A46" t="s">
        <v>52</v>
      </c>
      <c r="B46" s="1">
        <v>51.957807000000003</v>
      </c>
      <c r="C46" s="1"/>
    </row>
    <row r="47" spans="1:3">
      <c r="A47" t="s">
        <v>53</v>
      </c>
      <c r="B47" s="1">
        <v>52.462704000000002</v>
      </c>
      <c r="C47" s="1"/>
    </row>
    <row r="48" spans="1:3">
      <c r="A48" t="s">
        <v>54</v>
      </c>
      <c r="B48" s="1">
        <v>54.322930999999997</v>
      </c>
      <c r="C48" s="1"/>
    </row>
    <row r="49" spans="1:3">
      <c r="A49" t="s">
        <v>55</v>
      </c>
      <c r="B49" s="1">
        <v>56.279961</v>
      </c>
      <c r="C49" s="1"/>
    </row>
    <row r="50" spans="1:3">
      <c r="A50" t="s">
        <v>56</v>
      </c>
      <c r="B50" s="1">
        <v>59.276200000000003</v>
      </c>
      <c r="C50" s="1"/>
    </row>
    <row r="51" spans="1:3">
      <c r="A51" t="s">
        <v>57</v>
      </c>
      <c r="B51" s="1">
        <v>57.450060000000001</v>
      </c>
      <c r="C51" s="1"/>
    </row>
    <row r="52" spans="1:3">
      <c r="A52" t="s">
        <v>58</v>
      </c>
      <c r="B52" s="1">
        <v>56.746099999999998</v>
      </c>
      <c r="C52" s="1"/>
    </row>
    <row r="53" spans="1:3">
      <c r="A53" s="3" t="s">
        <v>65</v>
      </c>
      <c r="B53">
        <v>55.072580000000002</v>
      </c>
    </row>
    <row r="54" spans="1:3">
      <c r="A54" t="s">
        <v>66</v>
      </c>
      <c r="B54">
        <v>58.368563888888801</v>
      </c>
    </row>
    <row r="55" spans="1:3">
      <c r="A55" t="s">
        <v>67</v>
      </c>
      <c r="B55">
        <v>58.0222027777777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972F-EDBF-40BE-B963-3E6D09E32E3E}">
  <dimension ref="A1:B55"/>
  <sheetViews>
    <sheetView workbookViewId="0">
      <selection activeCell="F24" sqref="F24"/>
    </sheetView>
  </sheetViews>
  <sheetFormatPr defaultColWidth="10.88671875" defaultRowHeight="14.4"/>
  <sheetData>
    <row r="1" spans="1:2">
      <c r="A1" t="s">
        <v>62</v>
      </c>
    </row>
    <row r="2" spans="1:2">
      <c r="A2" t="s">
        <v>64</v>
      </c>
    </row>
    <row r="3" spans="1:2">
      <c r="A3" t="s">
        <v>61</v>
      </c>
      <c r="B3" t="s">
        <v>59</v>
      </c>
    </row>
    <row r="4" spans="1:2">
      <c r="A4" t="s">
        <v>3</v>
      </c>
      <c r="B4">
        <v>14.43</v>
      </c>
    </row>
    <row r="5" spans="1:2">
      <c r="A5" t="s">
        <v>4</v>
      </c>
      <c r="B5">
        <v>17.809999999999999</v>
      </c>
    </row>
    <row r="6" spans="1:2">
      <c r="A6" t="s">
        <v>5</v>
      </c>
      <c r="B6">
        <v>4.5999999999999996</v>
      </c>
    </row>
    <row r="7" spans="1:2">
      <c r="A7" t="s">
        <v>6</v>
      </c>
      <c r="B7">
        <v>25.25</v>
      </c>
    </row>
    <row r="8" spans="1:2">
      <c r="A8" t="s">
        <v>7</v>
      </c>
      <c r="B8">
        <v>8.15</v>
      </c>
    </row>
    <row r="9" spans="1:2">
      <c r="A9" t="s">
        <v>8</v>
      </c>
      <c r="B9">
        <v>15.11</v>
      </c>
    </row>
    <row r="10" spans="1:2">
      <c r="A10" t="s">
        <v>1</v>
      </c>
      <c r="B10">
        <v>10.54</v>
      </c>
    </row>
    <row r="11" spans="1:2">
      <c r="A11" t="s">
        <v>2</v>
      </c>
      <c r="B11">
        <v>9.2200000000000006</v>
      </c>
    </row>
    <row r="12" spans="1:2">
      <c r="A12" t="s">
        <v>9</v>
      </c>
      <c r="B12">
        <v>25.26</v>
      </c>
    </row>
    <row r="13" spans="1:2">
      <c r="A13" t="s">
        <v>10</v>
      </c>
      <c r="B13">
        <v>-3.15</v>
      </c>
    </row>
    <row r="14" spans="1:2">
      <c r="A14" t="s">
        <v>11</v>
      </c>
      <c r="B14">
        <v>26.77</v>
      </c>
    </row>
    <row r="15" spans="1:2">
      <c r="A15" t="s">
        <v>12</v>
      </c>
      <c r="B15">
        <v>2.52</v>
      </c>
    </row>
    <row r="16" spans="1:2">
      <c r="A16" t="s">
        <v>13</v>
      </c>
      <c r="B16">
        <v>-1.26</v>
      </c>
    </row>
    <row r="17" spans="1:2">
      <c r="A17" t="s">
        <v>14</v>
      </c>
      <c r="B17">
        <v>21.83</v>
      </c>
    </row>
    <row r="18" spans="1:2">
      <c r="A18" t="s">
        <v>15</v>
      </c>
      <c r="B18">
        <v>16.71</v>
      </c>
    </row>
    <row r="19" spans="1:2">
      <c r="A19" t="s">
        <v>16</v>
      </c>
      <c r="B19">
        <v>18.82</v>
      </c>
    </row>
    <row r="20" spans="1:2">
      <c r="A20" t="s">
        <v>17</v>
      </c>
      <c r="B20">
        <v>-8.07</v>
      </c>
    </row>
    <row r="21" spans="1:2">
      <c r="A21" t="s">
        <v>18</v>
      </c>
      <c r="B21">
        <v>10.96</v>
      </c>
    </row>
    <row r="22" spans="1:2">
      <c r="A22" t="s">
        <v>19</v>
      </c>
      <c r="B22">
        <v>24.17</v>
      </c>
    </row>
    <row r="23" spans="1:2">
      <c r="A23" t="s">
        <v>20</v>
      </c>
      <c r="B23">
        <v>6.12</v>
      </c>
    </row>
    <row r="24" spans="1:2">
      <c r="A24" t="s">
        <v>21</v>
      </c>
      <c r="B24">
        <v>25.62</v>
      </c>
    </row>
    <row r="25" spans="1:2">
      <c r="A25" t="s">
        <v>22</v>
      </c>
      <c r="B25">
        <v>21.7</v>
      </c>
    </row>
    <row r="26" spans="1:2">
      <c r="A26" t="s">
        <v>23</v>
      </c>
      <c r="B26">
        <v>5.54</v>
      </c>
    </row>
    <row r="27" spans="1:2">
      <c r="A27" t="s">
        <v>32</v>
      </c>
      <c r="B27">
        <v>10.71</v>
      </c>
    </row>
    <row r="28" spans="1:2">
      <c r="A28" t="s">
        <v>33</v>
      </c>
      <c r="B28">
        <v>7.32</v>
      </c>
    </row>
    <row r="29" spans="1:2">
      <c r="A29" t="s">
        <v>34</v>
      </c>
      <c r="B29">
        <v>10.53</v>
      </c>
    </row>
    <row r="30" spans="1:2">
      <c r="A30" t="s">
        <v>35</v>
      </c>
      <c r="B30">
        <v>16.850000000000001</v>
      </c>
    </row>
    <row r="31" spans="1:2">
      <c r="A31" t="s">
        <v>36</v>
      </c>
      <c r="B31">
        <v>6.28</v>
      </c>
    </row>
    <row r="32" spans="1:2">
      <c r="A32" t="s">
        <v>24</v>
      </c>
      <c r="B32">
        <v>19.329999999999998</v>
      </c>
    </row>
    <row r="33" spans="1:2">
      <c r="A33" t="s">
        <v>25</v>
      </c>
      <c r="B33">
        <v>-8.32</v>
      </c>
    </row>
    <row r="34" spans="1:2">
      <c r="A34" t="s">
        <v>26</v>
      </c>
      <c r="B34">
        <v>24.96</v>
      </c>
    </row>
    <row r="35" spans="1:2">
      <c r="A35" t="s">
        <v>27</v>
      </c>
      <c r="B35">
        <v>20.65</v>
      </c>
    </row>
    <row r="36" spans="1:2">
      <c r="A36" t="s">
        <v>28</v>
      </c>
      <c r="B36">
        <v>15.5</v>
      </c>
    </row>
    <row r="37" spans="1:2">
      <c r="A37" t="s">
        <v>29</v>
      </c>
      <c r="B37">
        <v>14.74</v>
      </c>
    </row>
    <row r="38" spans="1:2">
      <c r="A38" t="s">
        <v>30</v>
      </c>
      <c r="B38">
        <v>19.36</v>
      </c>
    </row>
    <row r="39" spans="1:2">
      <c r="A39" t="s">
        <v>45</v>
      </c>
      <c r="B39" s="1">
        <v>-2.9902289999999998</v>
      </c>
    </row>
    <row r="40" spans="1:2">
      <c r="A40" t="s">
        <v>46</v>
      </c>
      <c r="B40" s="1">
        <v>-2.0475349999999999</v>
      </c>
    </row>
    <row r="41" spans="1:2">
      <c r="A41" t="s">
        <v>47</v>
      </c>
      <c r="B41" s="1">
        <v>2.3333330000000001</v>
      </c>
    </row>
    <row r="42" spans="1:2">
      <c r="A42" t="s">
        <v>48</v>
      </c>
      <c r="B42" s="1">
        <v>1.8451960000000001</v>
      </c>
    </row>
    <row r="43" spans="1:2">
      <c r="A43" t="s">
        <v>49</v>
      </c>
      <c r="B43" s="1">
        <v>0.90507400000000005</v>
      </c>
    </row>
    <row r="44" spans="1:2">
      <c r="A44" t="s">
        <v>50</v>
      </c>
      <c r="B44" s="1">
        <v>2.1686380000000001</v>
      </c>
    </row>
    <row r="45" spans="1:2">
      <c r="A45" t="s">
        <v>51</v>
      </c>
      <c r="B45" s="1">
        <v>1.8834960000000001</v>
      </c>
    </row>
    <row r="46" spans="1:2">
      <c r="A46" t="s">
        <v>52</v>
      </c>
      <c r="B46" s="1">
        <v>3.1972209999999999</v>
      </c>
    </row>
    <row r="47" spans="1:2">
      <c r="A47" t="s">
        <v>53</v>
      </c>
      <c r="B47" s="1">
        <v>4.0080609999999997</v>
      </c>
    </row>
    <row r="48" spans="1:2">
      <c r="A48" t="s">
        <v>54</v>
      </c>
      <c r="B48" s="1">
        <v>7.1677220000000004</v>
      </c>
    </row>
    <row r="49" spans="1:2">
      <c r="A49" t="s">
        <v>55</v>
      </c>
      <c r="B49" s="1">
        <v>7.0358000000000001</v>
      </c>
    </row>
    <row r="50" spans="1:2">
      <c r="A50" t="s">
        <v>56</v>
      </c>
      <c r="B50" s="1">
        <v>4.5406000000000004</v>
      </c>
    </row>
    <row r="51" spans="1:2">
      <c r="A51" t="s">
        <v>57</v>
      </c>
      <c r="B51" s="1">
        <v>3.63489</v>
      </c>
    </row>
    <row r="52" spans="1:2">
      <c r="A52" t="s">
        <v>58</v>
      </c>
      <c r="B52" s="1">
        <v>4.9363000000000001</v>
      </c>
    </row>
    <row r="53" spans="1:2">
      <c r="A53" s="3" t="s">
        <v>65</v>
      </c>
      <c r="B53">
        <v>5.6737000000000002</v>
      </c>
    </row>
    <row r="54" spans="1:2">
      <c r="A54" t="s">
        <v>66</v>
      </c>
      <c r="B54">
        <v>1.9105305555555501</v>
      </c>
    </row>
    <row r="55" spans="1:2">
      <c r="A55" t="s">
        <v>67</v>
      </c>
      <c r="B55">
        <v>2.4727916666666601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5A702A-9B05-4173-BA8B-4D787E1C9A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ElectricAnnualDemand</vt:lpstr>
      <vt:lpstr>NodeLostLoadCost</vt:lpstr>
      <vt:lpstr>HydroGenMaxAnnualProduction</vt:lpstr>
      <vt:lpstr>Latitude</vt:lpstr>
      <vt:lpstr>Longitude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Frederik Dahl Nielsen</cp:lastModifiedBy>
  <dcterms:created xsi:type="dcterms:W3CDTF">2018-02-19T14:57:00Z</dcterms:created>
  <dcterms:modified xsi:type="dcterms:W3CDTF">2026-03-26T13:55:31Z</dcterms:modified>
</cp:coreProperties>
</file>